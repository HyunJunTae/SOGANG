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4CDA754-7BEF-408A-B3FB-FF06EC7DB7C4}" xr6:coauthVersionLast="36" xr6:coauthVersionMax="36" xr10:uidLastSave="{00000000-0000-0000-0000-000000000000}"/>
  <bookViews>
    <workbookView xWindow="0" yWindow="0" windowWidth="23040" windowHeight="8856" xr2:uid="{ABE77173-8E83-470F-8C05-D595E7EF34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6" i="1" l="1"/>
  <c r="K45" i="1"/>
  <c r="K39" i="1" l="1"/>
  <c r="K38" i="1"/>
  <c r="J46" i="1" l="1"/>
  <c r="J45" i="1"/>
  <c r="J39" i="1"/>
  <c r="J38" i="1"/>
  <c r="K29" i="1"/>
  <c r="K30" i="1"/>
  <c r="K31" i="1"/>
  <c r="K32" i="1"/>
  <c r="K19" i="1"/>
  <c r="K20" i="1"/>
  <c r="K21" i="1"/>
  <c r="K22" i="1"/>
  <c r="K9" i="1"/>
  <c r="K10" i="1"/>
  <c r="K11" i="1"/>
  <c r="K12" i="1"/>
  <c r="K8" i="1"/>
  <c r="K18" i="1"/>
  <c r="K28" i="1"/>
  <c r="L45" i="1" l="1"/>
  <c r="M45" i="1" s="1"/>
  <c r="L38" i="1"/>
  <c r="M38" i="1" s="1"/>
  <c r="L46" i="1"/>
  <c r="M46" i="1" s="1"/>
  <c r="J29" i="1"/>
  <c r="L29" i="1" s="1"/>
  <c r="M29" i="1" s="1"/>
  <c r="J30" i="1"/>
  <c r="L30" i="1" s="1"/>
  <c r="M30" i="1" s="1"/>
  <c r="J31" i="1"/>
  <c r="L31" i="1" s="1"/>
  <c r="M31" i="1" s="1"/>
  <c r="J32" i="1"/>
  <c r="L32" i="1" s="1"/>
  <c r="M32" i="1" s="1"/>
  <c r="J28" i="1"/>
  <c r="L28" i="1" s="1"/>
  <c r="M28" i="1" s="1"/>
  <c r="J19" i="1"/>
  <c r="J20" i="1"/>
  <c r="L20" i="1" s="1"/>
  <c r="M20" i="1" s="1"/>
  <c r="J21" i="1"/>
  <c r="L21" i="1" s="1"/>
  <c r="M21" i="1" s="1"/>
  <c r="J22" i="1"/>
  <c r="J18" i="1"/>
  <c r="J9" i="1"/>
  <c r="L9" i="1" s="1"/>
  <c r="M9" i="1" s="1"/>
  <c r="J10" i="1"/>
  <c r="L10" i="1" s="1"/>
  <c r="M10" i="1" s="1"/>
  <c r="J11" i="1"/>
  <c r="L11" i="1" s="1"/>
  <c r="M11" i="1" s="1"/>
  <c r="J12" i="1"/>
  <c r="L12" i="1" s="1"/>
  <c r="M12" i="1" s="1"/>
  <c r="J8" i="1"/>
  <c r="L8" i="1" s="1"/>
  <c r="M8" i="1" s="1"/>
  <c r="L19" i="1" l="1"/>
  <c r="M19" i="1" s="1"/>
  <c r="L18" i="1"/>
  <c r="M18" i="1" s="1"/>
  <c r="L22" i="1"/>
  <c r="M22" i="1" s="1"/>
  <c r="L39" i="1"/>
  <c r="M39" i="1" s="1"/>
</calcChain>
</file>

<file path=xl/sharedStrings.xml><?xml version="1.0" encoding="utf-8"?>
<sst xmlns="http://schemas.openxmlformats.org/spreadsheetml/2006/main" count="76" uniqueCount="16">
  <si>
    <t>회수</t>
  </si>
  <si>
    <t>질량 M(g)</t>
  </si>
  <si>
    <t>낙하시간 t(sec)</t>
  </si>
  <si>
    <t>관성모멘트</t>
  </si>
  <si>
    <t>I(gm^2)</t>
  </si>
  <si>
    <t>이론</t>
  </si>
  <si>
    <t>관성모멘트 I(gm^2)</t>
  </si>
  <si>
    <t>실험</t>
  </si>
  <si>
    <t>오차율(%)</t>
  </si>
  <si>
    <t>1회</t>
  </si>
  <si>
    <t>2회</t>
  </si>
  <si>
    <t>3회</t>
  </si>
  <si>
    <t>4회</t>
  </si>
  <si>
    <t>5회</t>
  </si>
  <si>
    <t>평균</t>
  </si>
  <si>
    <t>3,1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</si>
</sst>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top" wrapText="1"/>
    </xf>
    <xf numFmtId="2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 wrapText="1"/>
    </xf>
    <xf numFmtId="2" fontId="1" fillId="0" borderId="7" xfId="0" applyNumberFormat="1" applyFont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05D24-80FE-426D-8162-20AF39307D1B}">
  <dimension ref="A4:M46"/>
  <sheetViews>
    <sheetView tabSelected="1" topLeftCell="A28" zoomScale="85" zoomScaleNormal="85" workbookViewId="0">
      <selection activeCell="L46" sqref="L46"/>
    </sheetView>
  </sheetViews>
  <sheetFormatPr defaultRowHeight="17.399999999999999" x14ac:dyDescent="0.4"/>
  <cols>
    <col min="11" max="13" width="12.19921875" bestFit="1" customWidth="1"/>
  </cols>
  <sheetData>
    <row r="4" spans="3:13" ht="18" thickBot="1" x14ac:dyDescent="0.45"/>
    <row r="5" spans="3:13" ht="31.2" x14ac:dyDescent="0.4">
      <c r="C5" s="9" t="s">
        <v>0</v>
      </c>
      <c r="D5" s="9" t="s">
        <v>1</v>
      </c>
      <c r="E5" s="12" t="s">
        <v>2</v>
      </c>
      <c r="F5" s="13"/>
      <c r="G5" s="13"/>
      <c r="H5" s="13"/>
      <c r="I5" s="13"/>
      <c r="J5" s="14"/>
      <c r="K5" s="1" t="s">
        <v>3</v>
      </c>
      <c r="L5" s="1" t="s">
        <v>6</v>
      </c>
      <c r="M5" s="9" t="s">
        <v>8</v>
      </c>
    </row>
    <row r="6" spans="3:13" ht="18" thickBot="1" x14ac:dyDescent="0.45">
      <c r="C6" s="10"/>
      <c r="D6" s="10"/>
      <c r="E6" s="15"/>
      <c r="F6" s="16"/>
      <c r="G6" s="16"/>
      <c r="H6" s="16"/>
      <c r="I6" s="16"/>
      <c r="J6" s="17"/>
      <c r="K6" s="2" t="s">
        <v>4</v>
      </c>
      <c r="L6" s="2" t="s">
        <v>7</v>
      </c>
      <c r="M6" s="11"/>
    </row>
    <row r="7" spans="3:13" ht="18" thickBot="1" x14ac:dyDescent="0.45">
      <c r="C7" s="11"/>
      <c r="D7" s="11"/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3" t="s">
        <v>14</v>
      </c>
      <c r="K7" s="3" t="s">
        <v>5</v>
      </c>
      <c r="L7" s="6"/>
      <c r="M7" s="3"/>
    </row>
    <row r="8" spans="3:13" ht="18" thickBot="1" x14ac:dyDescent="0.45">
      <c r="C8" s="4">
        <v>1</v>
      </c>
      <c r="D8" s="3">
        <v>10</v>
      </c>
      <c r="E8" s="5">
        <v>2.5499999999999998</v>
      </c>
      <c r="F8" s="5">
        <v>2.65</v>
      </c>
      <c r="G8" s="5">
        <v>2.5</v>
      </c>
      <c r="H8" s="5">
        <v>2.6</v>
      </c>
      <c r="I8" s="5">
        <v>2.5499999999999998</v>
      </c>
      <c r="J8" s="5">
        <f>AVERAGE(E8:I8)</f>
        <v>2.5699999999999994</v>
      </c>
      <c r="K8" s="7">
        <f>1/2 * 116.9 * 0.0948^2</f>
        <v>0.52529248800000006</v>
      </c>
      <c r="L8" s="5">
        <f>D8*0.0287^2 * (9.8*J8^2/2/0.7 - 1)</f>
        <v>0.37259040566999985</v>
      </c>
      <c r="M8" s="5">
        <f>(K8-L8)/K8</f>
        <v>0.29069915488682979</v>
      </c>
    </row>
    <row r="9" spans="3:13" ht="18" thickBot="1" x14ac:dyDescent="0.45">
      <c r="C9" s="4">
        <v>2</v>
      </c>
      <c r="D9" s="3">
        <v>20</v>
      </c>
      <c r="E9" s="5">
        <v>1.85</v>
      </c>
      <c r="F9" s="5">
        <v>1.9</v>
      </c>
      <c r="G9" s="5">
        <v>1.9</v>
      </c>
      <c r="H9" s="5">
        <v>2</v>
      </c>
      <c r="I9" s="5">
        <v>1.85</v>
      </c>
      <c r="J9" s="5">
        <f t="shared" ref="J9:J12" si="0">AVERAGE(E9:I9)</f>
        <v>1.9</v>
      </c>
      <c r="K9" s="7">
        <f t="shared" ref="K9:K12" si="1">1/2 * 116.9 * 0.0948^2</f>
        <v>0.52529248800000006</v>
      </c>
      <c r="L9" s="5">
        <f t="shared" ref="L9:L12" si="2">D9*0.0287^2 * (9.8*J9^2/2/0.7 - 1)</f>
        <v>0.39981912600000008</v>
      </c>
      <c r="M9" s="5">
        <f t="shared" ref="M9:M12" si="3">(K9-L9)/K9</f>
        <v>0.23886380419740547</v>
      </c>
    </row>
    <row r="10" spans="3:13" ht="18" thickBot="1" x14ac:dyDescent="0.45">
      <c r="C10" s="4">
        <v>3</v>
      </c>
      <c r="D10" s="3">
        <v>30</v>
      </c>
      <c r="E10" s="5">
        <v>1.6</v>
      </c>
      <c r="F10" s="5">
        <v>1.65</v>
      </c>
      <c r="G10" s="5">
        <v>1.6</v>
      </c>
      <c r="H10" s="5">
        <v>1.65</v>
      </c>
      <c r="I10" s="5">
        <v>1.65</v>
      </c>
      <c r="J10" s="5">
        <f t="shared" si="0"/>
        <v>1.6300000000000001</v>
      </c>
      <c r="K10" s="7">
        <f t="shared" si="1"/>
        <v>0.52529248800000006</v>
      </c>
      <c r="L10" s="5">
        <f t="shared" si="2"/>
        <v>0.43486631181000013</v>
      </c>
      <c r="M10" s="5">
        <f t="shared" si="3"/>
        <v>0.17214443049488254</v>
      </c>
    </row>
    <row r="11" spans="3:13" ht="18" thickBot="1" x14ac:dyDescent="0.45">
      <c r="C11" s="4">
        <v>4</v>
      </c>
      <c r="D11" s="3">
        <v>40</v>
      </c>
      <c r="E11" s="5">
        <v>1.45</v>
      </c>
      <c r="F11" s="5">
        <v>1.45</v>
      </c>
      <c r="G11" s="5">
        <v>1.5</v>
      </c>
      <c r="H11" s="5">
        <v>1.45</v>
      </c>
      <c r="I11" s="5">
        <v>1.45</v>
      </c>
      <c r="J11" s="5">
        <f t="shared" si="0"/>
        <v>1.4600000000000002</v>
      </c>
      <c r="K11" s="7">
        <f t="shared" si="1"/>
        <v>0.52529248800000006</v>
      </c>
      <c r="L11" s="5">
        <f t="shared" si="2"/>
        <v>0.45867012912000027</v>
      </c>
      <c r="M11" s="5">
        <f t="shared" si="3"/>
        <v>0.12682907218730261</v>
      </c>
    </row>
    <row r="12" spans="3:13" ht="18" thickBot="1" x14ac:dyDescent="0.45">
      <c r="C12" s="4">
        <v>5</v>
      </c>
      <c r="D12" s="3">
        <v>50</v>
      </c>
      <c r="E12" s="5">
        <v>1.4</v>
      </c>
      <c r="F12" s="5">
        <v>1.35</v>
      </c>
      <c r="G12" s="5">
        <v>1.05</v>
      </c>
      <c r="H12" s="5">
        <v>1.35</v>
      </c>
      <c r="I12" s="5">
        <v>1.55</v>
      </c>
      <c r="J12" s="5">
        <f t="shared" si="0"/>
        <v>1.34</v>
      </c>
      <c r="K12" s="7">
        <f t="shared" si="1"/>
        <v>0.52529248800000006</v>
      </c>
      <c r="L12" s="5">
        <f t="shared" si="2"/>
        <v>0.47647171740000022</v>
      </c>
      <c r="M12" s="5">
        <f t="shared" si="3"/>
        <v>9.2940165175177294E-2</v>
      </c>
    </row>
    <row r="13" spans="3:13" x14ac:dyDescent="0.4"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3:13" ht="18" thickBot="1" x14ac:dyDescent="0.45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3:13" ht="31.2" x14ac:dyDescent="0.4">
      <c r="C15" s="9" t="s">
        <v>0</v>
      </c>
      <c r="D15" s="9" t="s">
        <v>1</v>
      </c>
      <c r="E15" s="12" t="s">
        <v>2</v>
      </c>
      <c r="F15" s="13"/>
      <c r="G15" s="13"/>
      <c r="H15" s="13"/>
      <c r="I15" s="13"/>
      <c r="J15" s="14"/>
      <c r="K15" s="1" t="s">
        <v>3</v>
      </c>
      <c r="L15" s="1" t="s">
        <v>6</v>
      </c>
      <c r="M15" s="9" t="s">
        <v>8</v>
      </c>
    </row>
    <row r="16" spans="3:13" ht="18" thickBot="1" x14ac:dyDescent="0.45">
      <c r="C16" s="10"/>
      <c r="D16" s="10"/>
      <c r="E16" s="15"/>
      <c r="F16" s="16"/>
      <c r="G16" s="16"/>
      <c r="H16" s="16"/>
      <c r="I16" s="16"/>
      <c r="J16" s="17"/>
      <c r="K16" s="2" t="s">
        <v>4</v>
      </c>
      <c r="L16" s="2" t="s">
        <v>7</v>
      </c>
      <c r="M16" s="11"/>
    </row>
    <row r="17" spans="3:13" ht="18" thickBot="1" x14ac:dyDescent="0.45">
      <c r="C17" s="11"/>
      <c r="D17" s="11"/>
      <c r="E17" s="3" t="s">
        <v>9</v>
      </c>
      <c r="F17" s="3" t="s">
        <v>10</v>
      </c>
      <c r="G17" s="3" t="s">
        <v>11</v>
      </c>
      <c r="H17" s="3" t="s">
        <v>12</v>
      </c>
      <c r="I17" s="3" t="s">
        <v>13</v>
      </c>
      <c r="J17" s="3" t="s">
        <v>14</v>
      </c>
      <c r="K17" s="3" t="s">
        <v>5</v>
      </c>
      <c r="L17" s="6"/>
      <c r="M17" s="3"/>
    </row>
    <row r="18" spans="3:13" ht="18" thickBot="1" x14ac:dyDescent="0.45">
      <c r="C18" s="4">
        <v>1</v>
      </c>
      <c r="D18" s="3">
        <v>10</v>
      </c>
      <c r="E18" s="5">
        <v>5.95</v>
      </c>
      <c r="F18" s="5">
        <v>6.2</v>
      </c>
      <c r="G18" s="5">
        <v>6</v>
      </c>
      <c r="H18" s="5">
        <v>6.1</v>
      </c>
      <c r="I18" s="5">
        <v>5.8</v>
      </c>
      <c r="J18" s="5">
        <f>AVERAGE(E18:I18)</f>
        <v>6.01</v>
      </c>
      <c r="K18" s="7">
        <f>1/2 * 468.3 * (0.0538^2 + 0.0764^2)</f>
        <v>2.0444573100000003</v>
      </c>
      <c r="L18" s="5">
        <f>D18*0.0287^2 * (9.8*J18^2/2/0.7 - 1) -L8</f>
        <v>1.7017962561600004</v>
      </c>
      <c r="M18" s="5">
        <f>(K18-L18)/K18</f>
        <v>0.16760489552114924</v>
      </c>
    </row>
    <row r="19" spans="3:13" ht="18" thickBot="1" x14ac:dyDescent="0.45">
      <c r="C19" s="4">
        <v>2</v>
      </c>
      <c r="D19" s="3">
        <v>20</v>
      </c>
      <c r="E19" s="5">
        <v>4.2</v>
      </c>
      <c r="F19" s="5">
        <v>4.3499999999999996</v>
      </c>
      <c r="G19" s="5">
        <v>4.25</v>
      </c>
      <c r="H19" s="5">
        <v>4.2</v>
      </c>
      <c r="I19" s="5">
        <v>4.2</v>
      </c>
      <c r="J19" s="5">
        <f t="shared" ref="J19:J22" si="4">AVERAGE(E19:I19)</f>
        <v>4.24</v>
      </c>
      <c r="K19" s="7">
        <f t="shared" ref="K19:K22" si="5">1/2 * 468.3 * (0.0538^2 + 0.0764^2)</f>
        <v>2.0444573100000003</v>
      </c>
      <c r="L19" s="5">
        <f t="shared" ref="L19:L22" si="6">D19*0.0287^2 * (9.8*J19^2/2/0.7 - 1) -L9</f>
        <v>1.6568227821600003</v>
      </c>
      <c r="M19" s="5">
        <f t="shared" ref="M19:M22" si="7">(K19-L19)/K19</f>
        <v>0.18960265198200685</v>
      </c>
    </row>
    <row r="20" spans="3:13" ht="18" thickBot="1" x14ac:dyDescent="0.45">
      <c r="C20" s="4">
        <v>3</v>
      </c>
      <c r="D20" s="3">
        <v>30</v>
      </c>
      <c r="E20" s="5">
        <v>3.55</v>
      </c>
      <c r="F20" s="5">
        <v>3.35</v>
      </c>
      <c r="G20" s="5">
        <v>3.45</v>
      </c>
      <c r="H20" s="5">
        <v>3.55</v>
      </c>
      <c r="I20" s="5">
        <v>3.55</v>
      </c>
      <c r="J20" s="5">
        <f t="shared" si="4"/>
        <v>3.4900000000000007</v>
      </c>
      <c r="K20" s="7">
        <f t="shared" si="5"/>
        <v>2.0444573100000003</v>
      </c>
      <c r="L20" s="5">
        <f t="shared" si="6"/>
        <v>1.6472745676800011</v>
      </c>
      <c r="M20" s="5">
        <f t="shared" si="7"/>
        <v>0.19427294489215777</v>
      </c>
    </row>
    <row r="21" spans="3:13" ht="18" thickBot="1" x14ac:dyDescent="0.45">
      <c r="C21" s="4">
        <v>4</v>
      </c>
      <c r="D21" s="3">
        <v>40</v>
      </c>
      <c r="E21" s="5">
        <v>3</v>
      </c>
      <c r="F21" s="5">
        <v>3.1</v>
      </c>
      <c r="G21" s="5">
        <v>3.05</v>
      </c>
      <c r="H21" s="5">
        <v>3.1</v>
      </c>
      <c r="I21" s="5" t="s">
        <v>15</v>
      </c>
      <c r="J21" s="5">
        <f t="shared" si="4"/>
        <v>3.0624999999999996</v>
      </c>
      <c r="K21" s="7">
        <f t="shared" si="5"/>
        <v>2.0444573100000003</v>
      </c>
      <c r="L21" s="5">
        <f t="shared" si="6"/>
        <v>1.6714694318174992</v>
      </c>
      <c r="M21" s="5">
        <f t="shared" si="7"/>
        <v>0.18243857494999544</v>
      </c>
    </row>
    <row r="22" spans="3:13" ht="18" thickBot="1" x14ac:dyDescent="0.45">
      <c r="C22" s="4">
        <v>5</v>
      </c>
      <c r="D22" s="3">
        <v>50</v>
      </c>
      <c r="E22" s="5">
        <v>2.75</v>
      </c>
      <c r="F22" s="5">
        <v>2.8</v>
      </c>
      <c r="G22" s="5">
        <v>2.75</v>
      </c>
      <c r="H22" s="5">
        <v>2.6</v>
      </c>
      <c r="I22" s="5">
        <v>2.75</v>
      </c>
      <c r="J22" s="5">
        <f t="shared" si="4"/>
        <v>2.73</v>
      </c>
      <c r="K22" s="7">
        <f t="shared" si="5"/>
        <v>2.0444573100000003</v>
      </c>
      <c r="L22" s="5">
        <f t="shared" si="6"/>
        <v>1.6309515029500001</v>
      </c>
      <c r="M22" s="5">
        <f t="shared" si="7"/>
        <v>0.20225700239737465</v>
      </c>
    </row>
    <row r="23" spans="3:13" x14ac:dyDescent="0.4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3:13" ht="18" thickBot="1" x14ac:dyDescent="0.45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3:13" ht="31.2" x14ac:dyDescent="0.4">
      <c r="C25" s="9" t="s">
        <v>0</v>
      </c>
      <c r="D25" s="9" t="s">
        <v>1</v>
      </c>
      <c r="E25" s="12" t="s">
        <v>2</v>
      </c>
      <c r="F25" s="13"/>
      <c r="G25" s="13"/>
      <c r="H25" s="13"/>
      <c r="I25" s="13"/>
      <c r="J25" s="14"/>
      <c r="K25" s="1" t="s">
        <v>3</v>
      </c>
      <c r="L25" s="1" t="s">
        <v>6</v>
      </c>
      <c r="M25" s="9" t="s">
        <v>8</v>
      </c>
    </row>
    <row r="26" spans="3:13" ht="18" thickBot="1" x14ac:dyDescent="0.45">
      <c r="C26" s="10"/>
      <c r="D26" s="10"/>
      <c r="E26" s="15"/>
      <c r="F26" s="16"/>
      <c r="G26" s="16"/>
      <c r="H26" s="16"/>
      <c r="I26" s="16"/>
      <c r="J26" s="17"/>
      <c r="K26" s="2" t="s">
        <v>4</v>
      </c>
      <c r="L26" s="2" t="s">
        <v>7</v>
      </c>
      <c r="M26" s="11"/>
    </row>
    <row r="27" spans="3:13" ht="18" thickBot="1" x14ac:dyDescent="0.45">
      <c r="C27" s="11"/>
      <c r="D27" s="11"/>
      <c r="E27" s="3" t="s">
        <v>9</v>
      </c>
      <c r="F27" s="3" t="s">
        <v>10</v>
      </c>
      <c r="G27" s="3" t="s">
        <v>11</v>
      </c>
      <c r="H27" s="3" t="s">
        <v>12</v>
      </c>
      <c r="I27" s="3" t="s">
        <v>13</v>
      </c>
      <c r="J27" s="3" t="s">
        <v>14</v>
      </c>
      <c r="K27" s="3" t="s">
        <v>5</v>
      </c>
      <c r="L27" s="6"/>
      <c r="M27" s="3"/>
    </row>
    <row r="28" spans="3:13" ht="18" thickBot="1" x14ac:dyDescent="0.45">
      <c r="C28" s="4">
        <v>1</v>
      </c>
      <c r="D28" s="3">
        <v>10</v>
      </c>
      <c r="E28" s="5">
        <v>4.7</v>
      </c>
      <c r="F28" s="5">
        <v>4.75</v>
      </c>
      <c r="G28" s="5">
        <v>4.7</v>
      </c>
      <c r="H28" s="5">
        <v>4.9000000000000004</v>
      </c>
      <c r="I28" s="5">
        <v>4.8</v>
      </c>
      <c r="J28" s="5">
        <f>AVERAGE(E28:I28)</f>
        <v>4.7699999999999996</v>
      </c>
      <c r="K28" s="5">
        <f>1/12 * 38.3 * 0.381^2</f>
        <v>0.463305525</v>
      </c>
      <c r="L28" s="5">
        <f>D28*0.0287^2 * (9.8*J28^2/2/0.7 - 1)</f>
        <v>1.30365663407</v>
      </c>
      <c r="M28" s="5">
        <f>(L28-K28)/L28</f>
        <v>0.64461077181530091</v>
      </c>
    </row>
    <row r="29" spans="3:13" ht="18" thickBot="1" x14ac:dyDescent="0.45">
      <c r="C29" s="4">
        <v>2</v>
      </c>
      <c r="D29" s="3">
        <v>20</v>
      </c>
      <c r="E29" s="5">
        <v>3.45</v>
      </c>
      <c r="F29" s="5">
        <v>3.45</v>
      </c>
      <c r="G29" s="5">
        <v>3.4</v>
      </c>
      <c r="H29" s="5">
        <v>3.4</v>
      </c>
      <c r="I29" s="5">
        <v>3.6</v>
      </c>
      <c r="J29" s="5">
        <f t="shared" ref="J29:J32" si="8">AVERAGE(E29:I29)</f>
        <v>3.46</v>
      </c>
      <c r="K29" s="5">
        <f t="shared" ref="K29:K32" si="9">1/12 * 38.3 * 0.381^2</f>
        <v>0.463305525</v>
      </c>
      <c r="L29" s="5">
        <f t="shared" ref="L29:L32" si="10">D29*0.0287^2 * (9.8*J29^2/2/0.7 - 1)</f>
        <v>1.3640504085600005</v>
      </c>
      <c r="M29" s="5">
        <f t="shared" ref="M29:M32" si="11">(L29-K29)/L29</f>
        <v>0.66034574522132072</v>
      </c>
    </row>
    <row r="30" spans="3:13" ht="18" thickBot="1" x14ac:dyDescent="0.45">
      <c r="C30" s="4">
        <v>3</v>
      </c>
      <c r="D30" s="3">
        <v>30</v>
      </c>
      <c r="E30" s="5">
        <v>3.05</v>
      </c>
      <c r="F30" s="5">
        <v>3</v>
      </c>
      <c r="G30" s="5">
        <v>3</v>
      </c>
      <c r="H30" s="5">
        <v>2.8</v>
      </c>
      <c r="I30" s="5">
        <v>3.05</v>
      </c>
      <c r="J30" s="5">
        <f t="shared" si="8"/>
        <v>2.9800000000000004</v>
      </c>
      <c r="K30" s="5">
        <f t="shared" si="9"/>
        <v>0.463305525</v>
      </c>
      <c r="L30" s="5">
        <f t="shared" si="10"/>
        <v>1.5113756019600006</v>
      </c>
      <c r="M30" s="5">
        <f t="shared" si="11"/>
        <v>0.69345441040653932</v>
      </c>
    </row>
    <row r="31" spans="3:13" ht="18" thickBot="1" x14ac:dyDescent="0.45">
      <c r="C31" s="4">
        <v>4</v>
      </c>
      <c r="D31" s="3">
        <v>40</v>
      </c>
      <c r="E31" s="5">
        <v>2.75</v>
      </c>
      <c r="F31" s="5">
        <v>2.65</v>
      </c>
      <c r="G31" s="5">
        <v>2.75</v>
      </c>
      <c r="H31" s="5">
        <v>2.7</v>
      </c>
      <c r="I31" s="5">
        <v>2.5499999999999998</v>
      </c>
      <c r="J31" s="5">
        <f t="shared" si="8"/>
        <v>2.6800000000000006</v>
      </c>
      <c r="K31" s="5">
        <f t="shared" si="9"/>
        <v>0.463305525</v>
      </c>
      <c r="L31" s="5">
        <f t="shared" si="10"/>
        <v>1.623552295680001</v>
      </c>
      <c r="M31" s="5">
        <f t="shared" si="11"/>
        <v>0.71463467716267726</v>
      </c>
    </row>
    <row r="32" spans="3:13" ht="18" thickBot="1" x14ac:dyDescent="0.45">
      <c r="C32" s="4">
        <v>5</v>
      </c>
      <c r="D32" s="3">
        <v>50</v>
      </c>
      <c r="E32" s="5">
        <v>2.4500000000000002</v>
      </c>
      <c r="F32" s="5">
        <v>2.35</v>
      </c>
      <c r="G32" s="5">
        <v>2.4500000000000002</v>
      </c>
      <c r="H32" s="5">
        <v>2.4500000000000002</v>
      </c>
      <c r="I32" s="5">
        <v>2.4</v>
      </c>
      <c r="J32" s="5">
        <f t="shared" si="8"/>
        <v>2.4200000000000004</v>
      </c>
      <c r="K32" s="5">
        <f t="shared" si="9"/>
        <v>0.463305525</v>
      </c>
      <c r="L32" s="5">
        <f t="shared" si="10"/>
        <v>1.6471658406000007</v>
      </c>
      <c r="M32" s="5">
        <f t="shared" si="11"/>
        <v>0.71872563552481439</v>
      </c>
    </row>
    <row r="33" spans="1:13" x14ac:dyDescent="0.4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 ht="18" thickBot="1" x14ac:dyDescent="0.45"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 ht="31.2" x14ac:dyDescent="0.4">
      <c r="C35" s="9" t="s">
        <v>0</v>
      </c>
      <c r="D35" s="9" t="s">
        <v>1</v>
      </c>
      <c r="E35" s="12" t="s">
        <v>2</v>
      </c>
      <c r="F35" s="13"/>
      <c r="G35" s="13"/>
      <c r="H35" s="13"/>
      <c r="I35" s="13"/>
      <c r="J35" s="14"/>
      <c r="K35" s="1" t="s">
        <v>3</v>
      </c>
      <c r="L35" s="1" t="s">
        <v>6</v>
      </c>
      <c r="M35" s="9" t="s">
        <v>8</v>
      </c>
    </row>
    <row r="36" spans="1:13" ht="18" thickBot="1" x14ac:dyDescent="0.45">
      <c r="A36">
        <v>15</v>
      </c>
      <c r="C36" s="10"/>
      <c r="D36" s="10"/>
      <c r="E36" s="15"/>
      <c r="F36" s="16"/>
      <c r="G36" s="16"/>
      <c r="H36" s="16"/>
      <c r="I36" s="16"/>
      <c r="J36" s="17"/>
      <c r="K36" s="2" t="s">
        <v>4</v>
      </c>
      <c r="L36" s="2" t="s">
        <v>7</v>
      </c>
      <c r="M36" s="11"/>
    </row>
    <row r="37" spans="1:13" ht="18" thickBot="1" x14ac:dyDescent="0.45">
      <c r="C37" s="11"/>
      <c r="D37" s="11"/>
      <c r="E37" s="3" t="s">
        <v>9</v>
      </c>
      <c r="F37" s="3" t="s">
        <v>10</v>
      </c>
      <c r="G37" s="3" t="s">
        <v>11</v>
      </c>
      <c r="H37" s="3" t="s">
        <v>12</v>
      </c>
      <c r="I37" s="3" t="s">
        <v>13</v>
      </c>
      <c r="J37" s="3" t="s">
        <v>14</v>
      </c>
      <c r="K37" s="3" t="s">
        <v>5</v>
      </c>
      <c r="L37" s="6"/>
      <c r="M37" s="3"/>
    </row>
    <row r="38" spans="1:13" ht="18" thickBot="1" x14ac:dyDescent="0.45">
      <c r="C38" s="4">
        <v>1</v>
      </c>
      <c r="D38" s="3">
        <v>20</v>
      </c>
      <c r="E38" s="5">
        <v>11.75</v>
      </c>
      <c r="F38" s="5">
        <v>11.3</v>
      </c>
      <c r="G38" s="5">
        <v>11.8</v>
      </c>
      <c r="H38" s="5">
        <v>11.3</v>
      </c>
      <c r="I38" s="5">
        <v>11.85</v>
      </c>
      <c r="J38" s="5">
        <f>AVERAGE(E38:I38)</f>
        <v>11.600000000000001</v>
      </c>
      <c r="K38" s="5">
        <f>(2 * 98.4 * 0.15^2) * 2</f>
        <v>8.8559999999999999</v>
      </c>
      <c r="L38" s="5">
        <f>D38*0.0287^2 * (9.8*J38^2/2/0.7 - 1) -L29</f>
        <v>14.136477487440004</v>
      </c>
      <c r="M38" s="5">
        <f>(L38-K38)/L38</f>
        <v>0.37353559202648678</v>
      </c>
    </row>
    <row r="39" spans="1:13" ht="18" thickBot="1" x14ac:dyDescent="0.45">
      <c r="C39" s="4">
        <v>2</v>
      </c>
      <c r="D39" s="3">
        <v>40</v>
      </c>
      <c r="E39" s="5">
        <v>8.25</v>
      </c>
      <c r="F39" s="5">
        <v>8.5500000000000007</v>
      </c>
      <c r="G39" s="5">
        <v>8.0500000000000007</v>
      </c>
      <c r="H39" s="5">
        <v>8.4</v>
      </c>
      <c r="I39" s="5">
        <v>8.35</v>
      </c>
      <c r="J39" s="5">
        <f>AVERAGE(E39:I39)</f>
        <v>8.32</v>
      </c>
      <c r="K39" s="5">
        <f>(2 * 98.4 * 0.15^2) * 2</f>
        <v>8.8559999999999999</v>
      </c>
      <c r="L39" s="5">
        <f>D39*0.0287^2 * (9.8*J39^2/2/0.7 - 1) -L31</f>
        <v>14.308483728000001</v>
      </c>
      <c r="M39" s="5">
        <f>(L39-K39)/L39</f>
        <v>0.38106649395212566</v>
      </c>
    </row>
    <row r="40" spans="1:13" x14ac:dyDescent="0.4">
      <c r="C40" s="8"/>
      <c r="D40" s="8"/>
      <c r="E40" s="18"/>
      <c r="F40" s="18"/>
      <c r="G40" s="18"/>
      <c r="H40" s="18"/>
      <c r="I40" s="18"/>
      <c r="J40" s="18"/>
      <c r="K40" s="18"/>
      <c r="L40" s="18"/>
      <c r="M40" s="18"/>
    </row>
    <row r="41" spans="1:13" ht="18" thickBot="1" x14ac:dyDescent="0.45">
      <c r="C41" s="8"/>
      <c r="D41" s="8"/>
      <c r="E41" s="18"/>
      <c r="F41" s="18"/>
      <c r="G41" s="18"/>
      <c r="H41" s="18"/>
      <c r="I41" s="18"/>
      <c r="J41" s="18"/>
      <c r="K41" s="18"/>
      <c r="L41" s="18"/>
      <c r="M41" s="18"/>
    </row>
    <row r="42" spans="1:13" ht="31.2" x14ac:dyDescent="0.4">
      <c r="C42" s="9" t="s">
        <v>0</v>
      </c>
      <c r="D42" s="9" t="s">
        <v>1</v>
      </c>
      <c r="E42" s="19" t="s">
        <v>2</v>
      </c>
      <c r="F42" s="20"/>
      <c r="G42" s="20"/>
      <c r="H42" s="20"/>
      <c r="I42" s="20"/>
      <c r="J42" s="21"/>
      <c r="K42" s="22" t="s">
        <v>3</v>
      </c>
      <c r="L42" s="22" t="s">
        <v>6</v>
      </c>
      <c r="M42" s="23" t="s">
        <v>8</v>
      </c>
    </row>
    <row r="43" spans="1:13" ht="18" thickBot="1" x14ac:dyDescent="0.45">
      <c r="A43">
        <v>5</v>
      </c>
      <c r="C43" s="10"/>
      <c r="D43" s="10"/>
      <c r="E43" s="24"/>
      <c r="F43" s="25"/>
      <c r="G43" s="25"/>
      <c r="H43" s="25"/>
      <c r="I43" s="25"/>
      <c r="J43" s="26"/>
      <c r="K43" s="27" t="s">
        <v>4</v>
      </c>
      <c r="L43" s="27" t="s">
        <v>7</v>
      </c>
      <c r="M43" s="28"/>
    </row>
    <row r="44" spans="1:13" ht="18" thickBot="1" x14ac:dyDescent="0.45">
      <c r="C44" s="11"/>
      <c r="D44" s="11"/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5" t="s">
        <v>5</v>
      </c>
      <c r="L44" s="29"/>
      <c r="M44" s="5"/>
    </row>
    <row r="45" spans="1:13" ht="18" thickBot="1" x14ac:dyDescent="0.45">
      <c r="C45" s="4">
        <v>1</v>
      </c>
      <c r="D45" s="3">
        <v>20</v>
      </c>
      <c r="E45" s="5">
        <v>5.35</v>
      </c>
      <c r="F45" s="5">
        <v>5.3</v>
      </c>
      <c r="G45" s="5">
        <v>5.4</v>
      </c>
      <c r="H45" s="5">
        <v>5.0999999999999996</v>
      </c>
      <c r="I45" s="5">
        <v>5.35</v>
      </c>
      <c r="J45" s="5">
        <f>AVERAGE(E45:I45)</f>
        <v>5.3</v>
      </c>
      <c r="K45" s="5">
        <f>(2 * 98.4 * 0.05^2) * 2</f>
        <v>0.98400000000000021</v>
      </c>
      <c r="L45" s="5">
        <f>D45*0.0287^2 * (9.8*J45^2/2/0.7 - 1) - L29</f>
        <v>1.8587190854400004</v>
      </c>
      <c r="M45" s="5">
        <f>(L45-K45)/L45</f>
        <v>0.47060316553048931</v>
      </c>
    </row>
    <row r="46" spans="1:13" ht="18" thickBot="1" x14ac:dyDescent="0.45">
      <c r="C46" s="4">
        <v>2</v>
      </c>
      <c r="D46" s="3">
        <v>40</v>
      </c>
      <c r="E46" s="5">
        <v>3.8</v>
      </c>
      <c r="F46" s="5">
        <v>3.95</v>
      </c>
      <c r="G46" s="5">
        <v>3.85</v>
      </c>
      <c r="H46" s="5">
        <v>3.8</v>
      </c>
      <c r="I46" s="5">
        <v>3.85</v>
      </c>
      <c r="J46" s="5">
        <f>AVERAGE(E46:I46)</f>
        <v>3.85</v>
      </c>
      <c r="K46" s="5">
        <f>(2 * 98.4 * 0.05^2) * 2</f>
        <v>0.98400000000000021</v>
      </c>
      <c r="L46" s="5">
        <f>D46*0.0287^2 * (9.8*J46^2/2/0.7 - 1) - L31</f>
        <v>1.7620607113200002</v>
      </c>
      <c r="M46" s="5">
        <f>(L46-K46)/L46</f>
        <v>0.44156294179962552</v>
      </c>
    </row>
  </sheetData>
  <mergeCells count="20">
    <mergeCell ref="C5:C7"/>
    <mergeCell ref="D5:D7"/>
    <mergeCell ref="E5:J6"/>
    <mergeCell ref="M5:M6"/>
    <mergeCell ref="C15:C17"/>
    <mergeCell ref="D15:D17"/>
    <mergeCell ref="E15:J16"/>
    <mergeCell ref="M15:M16"/>
    <mergeCell ref="C42:C44"/>
    <mergeCell ref="D42:D44"/>
    <mergeCell ref="E42:J43"/>
    <mergeCell ref="M42:M43"/>
    <mergeCell ref="C25:C27"/>
    <mergeCell ref="D25:D27"/>
    <mergeCell ref="E25:J26"/>
    <mergeCell ref="M25:M26"/>
    <mergeCell ref="C35:C37"/>
    <mergeCell ref="D35:D37"/>
    <mergeCell ref="E35:J36"/>
    <mergeCell ref="M35:M3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2022-04-22T05:24:41Z</dcterms:created>
  <dcterms:modified xsi:type="dcterms:W3CDTF">2022-04-22T12:29:02Z</dcterms:modified>
</cp:coreProperties>
</file>