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재밌는거♥\일반물리실험\2주차\"/>
    </mc:Choice>
  </mc:AlternateContent>
  <xr:revisionPtr revIDLastSave="0" documentId="13_ncr:1_{B7538A3F-478E-438F-AC49-FDBB4C3689A0}" xr6:coauthVersionLast="36" xr6:coauthVersionMax="36" xr10:uidLastSave="{00000000-0000-0000-0000-000000000000}"/>
  <bookViews>
    <workbookView xWindow="0" yWindow="0" windowWidth="17256" windowHeight="5472" activeTab="2" xr2:uid="{B751D38A-9AE3-4743-8C2C-357B2F873B05}"/>
  </bookViews>
  <sheets>
    <sheet name="실험2-1" sheetId="1" r:id="rId1"/>
    <sheet name="실험2-2" sheetId="2" r:id="rId2"/>
    <sheet name="실험 2-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3" l="1"/>
  <c r="L2" i="3"/>
  <c r="M2" i="3"/>
  <c r="M3" i="3"/>
  <c r="M4" i="3"/>
  <c r="L3" i="3"/>
  <c r="L4" i="3"/>
  <c r="K3" i="3"/>
  <c r="K4" i="3"/>
  <c r="N3" i="3" l="1"/>
  <c r="N4" i="3"/>
  <c r="N2" i="3"/>
  <c r="J11" i="2"/>
  <c r="H2" i="3"/>
  <c r="H12" i="2"/>
  <c r="H13" i="2"/>
  <c r="H14" i="2"/>
  <c r="H15" i="2"/>
  <c r="H11" i="2"/>
  <c r="J12" i="2"/>
  <c r="J13" i="2"/>
  <c r="J14" i="2"/>
  <c r="J15" i="2"/>
  <c r="G5" i="2"/>
  <c r="F3" i="1"/>
  <c r="G6" i="2"/>
  <c r="G7" i="2"/>
  <c r="G8" i="2"/>
  <c r="G9" i="2"/>
  <c r="G4" i="1"/>
  <c r="G5" i="1"/>
  <c r="G6" i="1"/>
  <c r="G7" i="1"/>
  <c r="G3" i="1"/>
  <c r="F4" i="1"/>
  <c r="F5" i="1"/>
  <c r="F6" i="1"/>
  <c r="F7" i="1"/>
  <c r="H4" i="3"/>
  <c r="H3" i="3"/>
</calcChain>
</file>

<file path=xl/sharedStrings.xml><?xml version="1.0" encoding="utf-8"?>
<sst xmlns="http://schemas.openxmlformats.org/spreadsheetml/2006/main" count="29" uniqueCount="27">
  <si>
    <t>횟수</t>
    <phoneticPr fontId="1" type="noConversion"/>
  </si>
  <si>
    <t>d(cm)</t>
    <phoneticPr fontId="1" type="noConversion"/>
  </si>
  <si>
    <t>t(sec)</t>
    <phoneticPr fontId="1" type="noConversion"/>
  </si>
  <si>
    <t>측정값1</t>
    <phoneticPr fontId="1" type="noConversion"/>
  </si>
  <si>
    <t>측정값2</t>
    <phoneticPr fontId="1" type="noConversion"/>
  </si>
  <si>
    <t>측정값3</t>
    <phoneticPr fontId="1" type="noConversion"/>
  </si>
  <si>
    <t>평균값</t>
    <phoneticPr fontId="1" type="noConversion"/>
  </si>
  <si>
    <t>수레 무게(추걸이 포함)</t>
    <phoneticPr fontId="1" type="noConversion"/>
  </si>
  <si>
    <t>m(gram)</t>
    <phoneticPr fontId="1" type="noConversion"/>
  </si>
  <si>
    <t>시간 (sec)</t>
    <phoneticPr fontId="1" type="noConversion"/>
  </si>
  <si>
    <t>Mtotal</t>
    <phoneticPr fontId="1" type="noConversion"/>
  </si>
  <si>
    <t>224.3 + 220</t>
    <phoneticPr fontId="1" type="noConversion"/>
  </si>
  <si>
    <t>224.3+100</t>
    <phoneticPr fontId="1" type="noConversion"/>
  </si>
  <si>
    <t>d</t>
    <phoneticPr fontId="1" type="noConversion"/>
  </si>
  <si>
    <t>50cm</t>
    <phoneticPr fontId="1" type="noConversion"/>
  </si>
  <si>
    <t>글라이더의 질량</t>
    <phoneticPr fontId="1" type="noConversion"/>
  </si>
  <si>
    <t>매달린 질량</t>
    <phoneticPr fontId="1" type="noConversion"/>
  </si>
  <si>
    <t>평균시간</t>
    <phoneticPr fontId="1" type="noConversion"/>
  </si>
  <si>
    <t>t^2</t>
    <phoneticPr fontId="1" type="noConversion"/>
  </si>
  <si>
    <t>a실험값</t>
    <phoneticPr fontId="1" type="noConversion"/>
  </si>
  <si>
    <t>a이론값</t>
    <phoneticPr fontId="1" type="noConversion"/>
  </si>
  <si>
    <t>a의 %diff</t>
    <phoneticPr fontId="1" type="noConversion"/>
  </si>
  <si>
    <t>글라이더의 질량 m1</t>
    <phoneticPr fontId="1" type="noConversion"/>
  </si>
  <si>
    <t>가속도</t>
    <phoneticPr fontId="1" type="noConversion"/>
  </si>
  <si>
    <t>$diff</t>
    <phoneticPr fontId="1" type="noConversion"/>
  </si>
  <si>
    <t>(m1+m2)a (kg*m/s^2)</t>
    <phoneticPr fontId="1" type="noConversion"/>
  </si>
  <si>
    <t>Fnet=m2g (kg*m/s^2)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</si>
</sst>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100F2-168C-48F8-AC68-25C5FAB6C467}">
  <dimension ref="A1:J7"/>
  <sheetViews>
    <sheetView workbookViewId="0">
      <selection activeCell="D11" sqref="D11"/>
    </sheetView>
  </sheetViews>
  <sheetFormatPr defaultRowHeight="17.399999999999999" x14ac:dyDescent="0.4"/>
  <cols>
    <col min="10" max="10" width="21.3984375" customWidth="1"/>
  </cols>
  <sheetData>
    <row r="1" spans="1:10" x14ac:dyDescent="0.4">
      <c r="A1" s="3" t="s">
        <v>0</v>
      </c>
      <c r="B1" s="3" t="s">
        <v>1</v>
      </c>
      <c r="C1" s="3" t="s">
        <v>2</v>
      </c>
      <c r="D1" s="3"/>
      <c r="E1" s="3"/>
      <c r="F1" s="3"/>
      <c r="G1" t="s">
        <v>18</v>
      </c>
      <c r="J1" t="s">
        <v>7</v>
      </c>
    </row>
    <row r="2" spans="1:10" x14ac:dyDescent="0.4">
      <c r="A2" s="3"/>
      <c r="B2" s="3"/>
      <c r="C2" t="s">
        <v>3</v>
      </c>
      <c r="D2" t="s">
        <v>4</v>
      </c>
      <c r="E2" t="s">
        <v>5</v>
      </c>
      <c r="F2" t="s">
        <v>6</v>
      </c>
      <c r="J2" t="s">
        <v>12</v>
      </c>
    </row>
    <row r="3" spans="1:10" x14ac:dyDescent="0.4">
      <c r="A3">
        <v>1</v>
      </c>
      <c r="B3">
        <v>60</v>
      </c>
      <c r="C3">
        <v>1.42</v>
      </c>
      <c r="D3">
        <v>1.45</v>
      </c>
      <c r="E3">
        <v>1.46</v>
      </c>
      <c r="F3">
        <f>AVERAGE(C3:E3)</f>
        <v>1.4433333333333334</v>
      </c>
      <c r="G3">
        <f>POWER(F3,2)</f>
        <v>2.0832111111111113</v>
      </c>
    </row>
    <row r="4" spans="1:10" x14ac:dyDescent="0.4">
      <c r="A4">
        <v>2</v>
      </c>
      <c r="B4">
        <v>70</v>
      </c>
      <c r="C4">
        <v>1.5</v>
      </c>
      <c r="D4">
        <v>1.51</v>
      </c>
      <c r="E4">
        <v>1.52</v>
      </c>
      <c r="F4">
        <f t="shared" ref="F4:F7" si="0">AVERAGE(C4:E4)</f>
        <v>1.5099999999999998</v>
      </c>
      <c r="G4">
        <f t="shared" ref="G4:G7" si="1">POWER(F4,2)</f>
        <v>2.2800999999999996</v>
      </c>
    </row>
    <row r="5" spans="1:10" x14ac:dyDescent="0.4">
      <c r="A5">
        <v>3</v>
      </c>
      <c r="B5">
        <v>80</v>
      </c>
      <c r="C5">
        <v>1.58</v>
      </c>
      <c r="D5">
        <v>1.58</v>
      </c>
      <c r="E5">
        <v>1.59</v>
      </c>
      <c r="F5">
        <f t="shared" si="0"/>
        <v>1.5833333333333333</v>
      </c>
      <c r="G5">
        <f t="shared" si="1"/>
        <v>2.5069444444444442</v>
      </c>
    </row>
    <row r="6" spans="1:10" x14ac:dyDescent="0.4">
      <c r="A6">
        <v>4</v>
      </c>
      <c r="B6">
        <v>90</v>
      </c>
      <c r="C6">
        <v>1.69</v>
      </c>
      <c r="D6">
        <v>1.7</v>
      </c>
      <c r="E6">
        <v>1.72</v>
      </c>
      <c r="F6">
        <f t="shared" si="0"/>
        <v>1.7033333333333331</v>
      </c>
      <c r="G6">
        <f t="shared" si="1"/>
        <v>2.9013444444444438</v>
      </c>
    </row>
    <row r="7" spans="1:10" x14ac:dyDescent="0.4">
      <c r="A7">
        <v>5</v>
      </c>
      <c r="B7">
        <v>100</v>
      </c>
      <c r="C7">
        <v>1.85</v>
      </c>
      <c r="D7">
        <v>1.84</v>
      </c>
      <c r="E7">
        <v>1.78</v>
      </c>
      <c r="F7">
        <f t="shared" si="0"/>
        <v>1.8233333333333335</v>
      </c>
      <c r="G7">
        <f t="shared" si="1"/>
        <v>3.3245444444444447</v>
      </c>
    </row>
  </sheetData>
  <mergeCells count="3">
    <mergeCell ref="C1:F1"/>
    <mergeCell ref="A1:A2"/>
    <mergeCell ref="B1:B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87830-4302-4020-935C-40809E0C5C18}">
  <dimension ref="A4:P15"/>
  <sheetViews>
    <sheetView topLeftCell="A4" workbookViewId="0">
      <selection activeCell="A20" sqref="A20:N23"/>
    </sheetView>
  </sheetViews>
  <sheetFormatPr defaultRowHeight="17.399999999999999" x14ac:dyDescent="0.4"/>
  <cols>
    <col min="9" max="9" width="9.19921875" customWidth="1"/>
    <col min="16" max="16" width="11.3984375" bestFit="1" customWidth="1"/>
  </cols>
  <sheetData>
    <row r="4" spans="1:16" x14ac:dyDescent="0.4">
      <c r="A4" t="s">
        <v>0</v>
      </c>
      <c r="B4" t="s">
        <v>8</v>
      </c>
      <c r="C4" s="3" t="s">
        <v>9</v>
      </c>
      <c r="D4" s="3"/>
      <c r="E4" s="3"/>
      <c r="F4" s="3"/>
      <c r="G4" t="s">
        <v>17</v>
      </c>
      <c r="H4" t="s">
        <v>19</v>
      </c>
      <c r="I4" t="s">
        <v>20</v>
      </c>
      <c r="J4" t="s">
        <v>21</v>
      </c>
      <c r="P4" t="s">
        <v>10</v>
      </c>
    </row>
    <row r="5" spans="1:16" x14ac:dyDescent="0.4">
      <c r="A5">
        <v>1</v>
      </c>
      <c r="B5">
        <v>20</v>
      </c>
      <c r="C5" s="2">
        <v>1.5206</v>
      </c>
      <c r="D5" s="2">
        <v>1.5203</v>
      </c>
      <c r="E5" s="2">
        <v>1.536</v>
      </c>
      <c r="F5" s="2">
        <v>1.5201</v>
      </c>
      <c r="G5" s="2">
        <f>AVERAGE(C5:F5)</f>
        <v>1.5242500000000001</v>
      </c>
      <c r="H5" s="2">
        <v>0.43030000000000002</v>
      </c>
      <c r="I5" s="2">
        <v>0.51390000000000002</v>
      </c>
      <c r="J5" s="2">
        <v>16.239999999999998</v>
      </c>
      <c r="P5" t="s">
        <v>11</v>
      </c>
    </row>
    <row r="6" spans="1:16" x14ac:dyDescent="0.4">
      <c r="A6">
        <v>2</v>
      </c>
      <c r="B6">
        <v>40</v>
      </c>
      <c r="C6" s="2">
        <v>1.0649</v>
      </c>
      <c r="D6" s="2">
        <v>1.0834999999999999</v>
      </c>
      <c r="E6" s="2">
        <v>1.0837000000000001</v>
      </c>
      <c r="F6" s="2">
        <v>1.0841000000000001</v>
      </c>
      <c r="G6" s="2">
        <f t="shared" ref="G6:G9" si="0">AVERAGE(C6:F6)</f>
        <v>1.0790500000000001</v>
      </c>
      <c r="H6" s="2">
        <v>0.85880000000000001</v>
      </c>
      <c r="I6" s="2">
        <v>0.95499999999999996</v>
      </c>
      <c r="J6" s="2">
        <v>10.7</v>
      </c>
    </row>
    <row r="7" spans="1:16" x14ac:dyDescent="0.4">
      <c r="A7">
        <v>3</v>
      </c>
      <c r="B7">
        <v>60</v>
      </c>
      <c r="C7" s="2">
        <v>0.87160000000000004</v>
      </c>
      <c r="D7" s="2">
        <v>0.88629999999999998</v>
      </c>
      <c r="E7" s="2">
        <v>0.875</v>
      </c>
      <c r="F7" s="2">
        <v>0.87150000000000005</v>
      </c>
      <c r="G7" s="2">
        <f t="shared" si="0"/>
        <v>0.8761000000000001</v>
      </c>
      <c r="H7" s="2">
        <v>1.3028</v>
      </c>
      <c r="I7" s="2">
        <v>1.3962000000000001</v>
      </c>
      <c r="J7" s="2">
        <v>6.68</v>
      </c>
      <c r="P7" t="s">
        <v>13</v>
      </c>
    </row>
    <row r="8" spans="1:16" x14ac:dyDescent="0.4">
      <c r="A8">
        <v>4</v>
      </c>
      <c r="B8">
        <v>80</v>
      </c>
      <c r="C8" s="2">
        <v>0.76200000000000001</v>
      </c>
      <c r="D8" s="2">
        <v>0.7883</v>
      </c>
      <c r="E8" s="2">
        <v>0.79500000000000004</v>
      </c>
      <c r="F8" s="2">
        <v>0.78649999999999998</v>
      </c>
      <c r="G8" s="2">
        <f t="shared" si="0"/>
        <v>0.78295000000000003</v>
      </c>
      <c r="H8" s="2">
        <v>1.6312</v>
      </c>
      <c r="I8" s="2">
        <v>1.8372999999999999</v>
      </c>
      <c r="J8" s="2">
        <v>11.21</v>
      </c>
      <c r="P8" t="s">
        <v>14</v>
      </c>
    </row>
    <row r="9" spans="1:16" x14ac:dyDescent="0.4">
      <c r="A9">
        <v>5</v>
      </c>
      <c r="B9">
        <v>100</v>
      </c>
      <c r="C9" s="2">
        <v>0.69299999999999995</v>
      </c>
      <c r="D9" s="2">
        <v>0.68410000000000004</v>
      </c>
      <c r="E9" s="2">
        <v>0.68859999999999999</v>
      </c>
      <c r="F9" s="2">
        <v>0.68500000000000005</v>
      </c>
      <c r="G9" s="2">
        <f t="shared" si="0"/>
        <v>0.68767500000000004</v>
      </c>
      <c r="H9" s="2">
        <v>2.1150000000000002</v>
      </c>
      <c r="I9" s="2">
        <v>2.2785000000000002</v>
      </c>
      <c r="J9" s="2">
        <v>7.17</v>
      </c>
    </row>
    <row r="11" spans="1:16" x14ac:dyDescent="0.4">
      <c r="H11">
        <f>1/G5/G5</f>
        <v>0.43041519275243217</v>
      </c>
      <c r="J11">
        <f>(I5-H5)/I5*100%</f>
        <v>0.16267756372835182</v>
      </c>
    </row>
    <row r="12" spans="1:16" x14ac:dyDescent="0.4">
      <c r="H12">
        <f t="shared" ref="H12:H15" si="1">1/G6/G6</f>
        <v>0.85884909398967713</v>
      </c>
      <c r="J12">
        <f t="shared" ref="J12:J15" si="2">(I6-H6)/I6*100%</f>
        <v>0.10073298429319368</v>
      </c>
    </row>
    <row r="13" spans="1:16" x14ac:dyDescent="0.4">
      <c r="H13">
        <f t="shared" si="1"/>
        <v>1.3028446662210327</v>
      </c>
      <c r="J13">
        <f t="shared" si="2"/>
        <v>6.689586019194968E-2</v>
      </c>
    </row>
    <row r="14" spans="1:16" x14ac:dyDescent="0.4">
      <c r="H14">
        <f t="shared" si="1"/>
        <v>1.6312928892134633</v>
      </c>
      <c r="J14">
        <f t="shared" si="2"/>
        <v>0.11217547488161975</v>
      </c>
    </row>
    <row r="15" spans="1:16" x14ac:dyDescent="0.4">
      <c r="H15">
        <f t="shared" si="1"/>
        <v>2.1146258055513365</v>
      </c>
      <c r="J15">
        <f t="shared" si="2"/>
        <v>7.1757735352205379E-2</v>
      </c>
    </row>
  </sheetData>
  <mergeCells count="1">
    <mergeCell ref="C4:F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49A86-EF2E-4CDF-AC14-172FCA36F43E}">
  <dimension ref="A1:N4"/>
  <sheetViews>
    <sheetView tabSelected="1" workbookViewId="0">
      <selection activeCell="J7" sqref="J7"/>
    </sheetView>
  </sheetViews>
  <sheetFormatPr defaultRowHeight="17.399999999999999" x14ac:dyDescent="0.4"/>
  <cols>
    <col min="1" max="1" width="15" bestFit="1" customWidth="1"/>
    <col min="2" max="2" width="11.09765625" bestFit="1" customWidth="1"/>
    <col min="10" max="10" width="18.5" bestFit="1" customWidth="1"/>
    <col min="11" max="11" width="8" customWidth="1"/>
    <col min="12" max="12" width="20.3984375" bestFit="1" customWidth="1"/>
    <col min="13" max="13" width="20.59765625" bestFit="1" customWidth="1"/>
    <col min="14" max="14" width="8.19921875" customWidth="1"/>
  </cols>
  <sheetData>
    <row r="1" spans="1:14" x14ac:dyDescent="0.4">
      <c r="A1" t="s">
        <v>15</v>
      </c>
      <c r="B1" t="s">
        <v>16</v>
      </c>
      <c r="C1">
        <v>1</v>
      </c>
      <c r="D1">
        <v>2</v>
      </c>
      <c r="E1">
        <v>3</v>
      </c>
      <c r="F1">
        <v>4</v>
      </c>
      <c r="G1">
        <v>5</v>
      </c>
      <c r="H1" t="s">
        <v>17</v>
      </c>
      <c r="J1" t="s">
        <v>22</v>
      </c>
      <c r="K1" t="s">
        <v>23</v>
      </c>
      <c r="L1" t="s">
        <v>25</v>
      </c>
      <c r="M1" t="s">
        <v>26</v>
      </c>
      <c r="N1" t="s">
        <v>24</v>
      </c>
    </row>
    <row r="2" spans="1:14" x14ac:dyDescent="0.4">
      <c r="A2">
        <v>221</v>
      </c>
      <c r="B2" s="1">
        <v>13.3</v>
      </c>
      <c r="C2" s="1">
        <v>1.58</v>
      </c>
      <c r="D2" s="1">
        <v>1.57</v>
      </c>
      <c r="E2" s="1">
        <v>1.58</v>
      </c>
      <c r="F2" s="1">
        <v>1.58</v>
      </c>
      <c r="G2" s="1">
        <v>1.58</v>
      </c>
      <c r="H2" s="1">
        <f>AVERAGE(C2:G2)</f>
        <v>1.5780000000000001</v>
      </c>
      <c r="I2" s="1"/>
      <c r="J2" s="1">
        <v>221</v>
      </c>
      <c r="K2" s="1">
        <f>1/H2/H2</f>
        <v>0.40159287799126447</v>
      </c>
      <c r="L2" s="1">
        <f>(A2+B2)*K2/1000</f>
        <v>9.409321131335327E-2</v>
      </c>
      <c r="M2" s="1">
        <f>B2*9.8/1000</f>
        <v>0.13034000000000001</v>
      </c>
      <c r="N2" s="1">
        <f>(M2-L2)/M2*100%</f>
        <v>0.27809412833087876</v>
      </c>
    </row>
    <row r="3" spans="1:14" x14ac:dyDescent="0.4">
      <c r="A3">
        <v>221</v>
      </c>
      <c r="B3" s="1">
        <v>23.3</v>
      </c>
      <c r="C3" s="1">
        <v>1.21</v>
      </c>
      <c r="D3" s="1">
        <v>1.23</v>
      </c>
      <c r="E3" s="1">
        <v>1.22</v>
      </c>
      <c r="F3" s="1">
        <v>1.26</v>
      </c>
      <c r="G3" s="1">
        <v>1.18</v>
      </c>
      <c r="H3" s="1">
        <f t="shared" ref="H3" si="0">AVERAGE(C3:G3)</f>
        <v>1.22</v>
      </c>
      <c r="I3" s="1"/>
      <c r="J3" s="1">
        <v>221</v>
      </c>
      <c r="K3" s="1">
        <f t="shared" ref="K3:K4" si="1">1/H3/H3</f>
        <v>0.67186240257995167</v>
      </c>
      <c r="L3" s="1">
        <f t="shared" ref="L3:L4" si="2">(A3+B3)*K3/1000</f>
        <v>0.1641359849502822</v>
      </c>
      <c r="M3" s="1">
        <f t="shared" ref="M3:M4" si="3">B3*9.8/1000</f>
        <v>0.22834000000000004</v>
      </c>
      <c r="N3" s="1">
        <f t="shared" ref="N3:N4" si="4">(M3-L3)/M3*100%</f>
        <v>0.28117725781605429</v>
      </c>
    </row>
    <row r="4" spans="1:14" x14ac:dyDescent="0.4">
      <c r="A4">
        <v>221</v>
      </c>
      <c r="B4" s="1">
        <v>33.299999999999997</v>
      </c>
      <c r="C4" s="1">
        <v>0.96</v>
      </c>
      <c r="D4" s="1">
        <v>0.98</v>
      </c>
      <c r="E4" s="1">
        <v>0.97</v>
      </c>
      <c r="F4" s="1">
        <v>0.96</v>
      </c>
      <c r="G4" s="1">
        <v>0.98</v>
      </c>
      <c r="H4" s="1">
        <f>AVERAGE(C4:G4)</f>
        <v>0.97</v>
      </c>
      <c r="I4" s="1"/>
      <c r="J4" s="1">
        <v>221</v>
      </c>
      <c r="K4" s="1">
        <f t="shared" si="1"/>
        <v>1.0628122010840686</v>
      </c>
      <c r="L4" s="1">
        <f t="shared" si="2"/>
        <v>0.27027314273567865</v>
      </c>
      <c r="M4" s="1">
        <f t="shared" si="3"/>
        <v>0.32633999999999996</v>
      </c>
      <c r="N4" s="1">
        <f t="shared" si="4"/>
        <v>0.1718050415649976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실험2-1</vt:lpstr>
      <vt:lpstr>실험2-2</vt:lpstr>
      <vt:lpstr>실험 2-3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2022-03-27T02:13:22Z</dcterms:created>
  <dcterms:modified xsi:type="dcterms:W3CDTF">2022-03-28T04:35:26Z</dcterms:modified>
</cp:coreProperties>
</file>