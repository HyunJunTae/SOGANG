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3주차\"/>
    </mc:Choice>
  </mc:AlternateContent>
  <xr:revisionPtr revIDLastSave="0" documentId="13_ncr:1_{12E1B2EC-74AE-4EA8-8EFC-A8830AD54234}" xr6:coauthVersionLast="36" xr6:coauthVersionMax="36" xr10:uidLastSave="{00000000-0000-0000-0000-000000000000}"/>
  <bookViews>
    <workbookView xWindow="0" yWindow="0" windowWidth="23040" windowHeight="8856" xr2:uid="{B3BCCEC3-9DBF-489C-B48C-830D444C3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6" i="1" l="1"/>
  <c r="M37" i="1"/>
  <c r="M38" i="1"/>
  <c r="M39" i="1"/>
  <c r="M35" i="1"/>
  <c r="M47" i="1"/>
  <c r="M48" i="1"/>
  <c r="M49" i="1"/>
  <c r="M50" i="1"/>
  <c r="M46" i="1"/>
  <c r="J47" i="1" l="1"/>
  <c r="J48" i="1"/>
  <c r="J49" i="1"/>
  <c r="J50" i="1"/>
  <c r="J46" i="1"/>
  <c r="G47" i="1"/>
  <c r="G48" i="1"/>
  <c r="G49" i="1"/>
  <c r="G50" i="1"/>
  <c r="G46" i="1"/>
  <c r="I47" i="1"/>
  <c r="I48" i="1"/>
  <c r="I49" i="1"/>
  <c r="I50" i="1"/>
  <c r="H47" i="1"/>
  <c r="H48" i="1"/>
  <c r="H49" i="1"/>
  <c r="H50" i="1"/>
  <c r="I46" i="1"/>
  <c r="H46" i="1"/>
  <c r="Q47" i="1"/>
  <c r="I36" i="1"/>
  <c r="I37" i="1"/>
  <c r="I38" i="1"/>
  <c r="I39" i="1"/>
  <c r="I35" i="1"/>
  <c r="H36" i="1"/>
  <c r="H37" i="1"/>
  <c r="H38" i="1"/>
  <c r="H39" i="1"/>
  <c r="H35" i="1"/>
  <c r="G36" i="1"/>
  <c r="G37" i="1"/>
  <c r="G38" i="1"/>
  <c r="G39" i="1"/>
  <c r="G35" i="1"/>
  <c r="I30" i="1"/>
  <c r="H30" i="1"/>
  <c r="I29" i="1"/>
  <c r="H29" i="1"/>
  <c r="I27" i="1"/>
  <c r="I26" i="1"/>
  <c r="H7" i="1"/>
  <c r="H8" i="1"/>
  <c r="H9" i="1"/>
  <c r="J8" i="1"/>
  <c r="J9" i="1"/>
  <c r="J10" i="1"/>
  <c r="J11" i="1"/>
  <c r="J7" i="1"/>
  <c r="I8" i="1"/>
  <c r="I9" i="1"/>
  <c r="I10" i="1"/>
  <c r="I11" i="1"/>
  <c r="I7" i="1"/>
  <c r="H10" i="1"/>
  <c r="H11" i="1"/>
  <c r="Q8" i="1"/>
</calcChain>
</file>

<file path=xl/sharedStrings.xml><?xml version="1.0" encoding="utf-8"?>
<sst xmlns="http://schemas.openxmlformats.org/spreadsheetml/2006/main" count="81" uniqueCount="20">
  <si>
    <t>질량(고정)</t>
    <phoneticPr fontId="1" type="noConversion"/>
  </si>
  <si>
    <t>Ma</t>
    <phoneticPr fontId="1" type="noConversion"/>
  </si>
  <si>
    <t>Mb</t>
    <phoneticPr fontId="1" type="noConversion"/>
  </si>
  <si>
    <t>Mc</t>
    <phoneticPr fontId="1" type="noConversion"/>
  </si>
  <si>
    <t>각(측정)</t>
    <phoneticPr fontId="1" type="noConversion"/>
  </si>
  <si>
    <t>각(이론)</t>
    <phoneticPr fontId="1" type="noConversion"/>
  </si>
  <si>
    <t>각(작도)</t>
    <phoneticPr fontId="1" type="noConversion"/>
  </si>
  <si>
    <t>오차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</si>
  <si>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</si>
  <si>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</si>
  <si>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</si>
  <si>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각도(고정)</t>
    <phoneticPr fontId="1" type="noConversion"/>
  </si>
  <si>
    <t>질량(측정)</t>
    <phoneticPr fontId="1" type="noConversion"/>
  </si>
  <si>
    <t>질량(이론)</t>
    <phoneticPr fontId="1" type="noConversion"/>
  </si>
  <si>
    <t>질량(작도)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</si>
  <si>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</si>
  <si>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</si>
  <si>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</si>
  <si>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오차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</si>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</sst>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7" formatCode="0.000"/>
    <numFmt numFmtId="180" formatCode="0.000E+00"/>
    <numFmt numFmtId="205" formatCode="0.0"/>
    <numFmt numFmtId="206" formatCode="0.0_ "/>
    <numFmt numFmtId="224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80" fontId="0" fillId="0" borderId="0" xfId="0" applyNumberFormat="1">
      <alignment vertical="center"/>
    </xf>
    <xf numFmtId="205" fontId="0" fillId="0" borderId="0" xfId="0" applyNumberFormat="1">
      <alignment vertical="center"/>
    </xf>
    <xf numFmtId="20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/>
    </xf>
    <xf numFmtId="22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1EAB-64B0-484E-A2A3-2D3B3D8BDD21}">
  <dimension ref="A5:Q50"/>
  <sheetViews>
    <sheetView tabSelected="1" topLeftCell="A27" zoomScale="87" workbookViewId="0">
      <selection activeCell="M35" sqref="M35"/>
    </sheetView>
  </sheetViews>
  <sheetFormatPr defaultRowHeight="17.399999999999999" x14ac:dyDescent="0.4"/>
  <cols>
    <col min="9" max="10" width="12.59765625" bestFit="1" customWidth="1"/>
    <col min="13" max="13" width="21" bestFit="1" customWidth="1"/>
  </cols>
  <sheetData>
    <row r="5" spans="2:17" x14ac:dyDescent="0.4">
      <c r="B5" s="2" t="s">
        <v>0</v>
      </c>
      <c r="C5" s="2"/>
      <c r="D5" s="2"/>
      <c r="E5" s="2" t="s">
        <v>4</v>
      </c>
      <c r="F5" s="2"/>
      <c r="G5" s="2"/>
      <c r="H5" s="2" t="s">
        <v>5</v>
      </c>
      <c r="I5" s="2"/>
      <c r="J5" s="2"/>
      <c r="K5" s="2" t="s">
        <v>6</v>
      </c>
      <c r="L5" s="2"/>
      <c r="M5" s="2"/>
      <c r="N5" s="2" t="s">
        <v>7</v>
      </c>
    </row>
    <row r="6" spans="2:17" x14ac:dyDescent="0.4">
      <c r="B6" t="s">
        <v>1</v>
      </c>
      <c r="C6" t="s">
        <v>2</v>
      </c>
      <c r="D6" t="s">
        <v>3</v>
      </c>
      <c r="E6" t="s">
        <v>8</v>
      </c>
      <c r="F6" t="s">
        <v>9</v>
      </c>
      <c r="G6" t="s">
        <v>10</v>
      </c>
      <c r="H6" t="s">
        <v>8</v>
      </c>
      <c r="I6" t="s">
        <v>9</v>
      </c>
      <c r="J6" t="s">
        <v>10</v>
      </c>
      <c r="N6" s="2"/>
    </row>
    <row r="7" spans="2:17" x14ac:dyDescent="0.4">
      <c r="B7">
        <v>25.2</v>
      </c>
      <c r="C7">
        <v>54.9</v>
      </c>
      <c r="D7">
        <v>44.8</v>
      </c>
      <c r="E7">
        <v>146</v>
      </c>
      <c r="F7">
        <v>124.5</v>
      </c>
      <c r="G7">
        <v>89.5</v>
      </c>
      <c r="H7" s="3">
        <f>((C7*9.8)^2+(D7*9.8)^2-(B7*9.8)^2)/(2*C7*D7*9.8^2)</f>
        <v>0.89163942557897446</v>
      </c>
      <c r="I7">
        <f>((D7*9.8)^2+(B7*9.8)^2-(C7*9.8)^2)/(2*B7*D7*9.8^2)</f>
        <v>-0.16472239937641703</v>
      </c>
      <c r="J7">
        <f>((B7*9.8)^2+(C7*9.8)^2-(D7*9.8)^2)/(2*B7*C7*9.8^2)</f>
        <v>0.59343467198658428</v>
      </c>
    </row>
    <row r="8" spans="2:17" x14ac:dyDescent="0.4">
      <c r="B8">
        <v>35.200000000000003</v>
      </c>
      <c r="C8">
        <v>44.9</v>
      </c>
      <c r="D8">
        <v>54.8</v>
      </c>
      <c r="E8">
        <v>139.9</v>
      </c>
      <c r="F8">
        <v>129.30000000000001</v>
      </c>
      <c r="G8">
        <v>90.8</v>
      </c>
      <c r="H8" s="3">
        <f t="shared" ref="H8:H11" si="0">((C8*9.8)^2+(D8*9.8)^2-(B8*9.8)^2)/(2*C8*D8*9.8^2)</f>
        <v>0.76813234600816072</v>
      </c>
      <c r="I8">
        <f t="shared" ref="I8:I11" si="1">((D8*9.8)^2+(B8*9.8)^2-(C8*9.8)^2)/(2*B8*D8*9.8^2)</f>
        <v>0.57701300182481741</v>
      </c>
      <c r="J8" s="4">
        <f t="shared" ref="J8:J11" si="2">((B8*9.8)^2+(C8*9.8)^2-(D8*9.8)^2)/(2*B8*C8*9.8^2)</f>
        <v>7.9725779510022438E-2</v>
      </c>
      <c r="Q8">
        <f>ACOS(RADIANS(1/2))</f>
        <v>1.5620695697691096</v>
      </c>
    </row>
    <row r="9" spans="2:17" x14ac:dyDescent="0.4">
      <c r="B9">
        <v>45.2</v>
      </c>
      <c r="C9">
        <v>54.9</v>
      </c>
      <c r="D9">
        <v>54.8</v>
      </c>
      <c r="E9">
        <v>129</v>
      </c>
      <c r="F9">
        <v>114</v>
      </c>
      <c r="G9">
        <v>117</v>
      </c>
      <c r="H9" s="3">
        <f t="shared" si="0"/>
        <v>0.66045929560049443</v>
      </c>
      <c r="I9">
        <f t="shared" si="1"/>
        <v>0.41019435114010727</v>
      </c>
      <c r="J9">
        <f t="shared" si="2"/>
        <v>0.4138679336524978</v>
      </c>
    </row>
    <row r="10" spans="2:17" x14ac:dyDescent="0.4">
      <c r="B10">
        <v>55.2</v>
      </c>
      <c r="C10">
        <v>64.900000000000006</v>
      </c>
      <c r="D10">
        <v>74.8</v>
      </c>
      <c r="E10">
        <v>131.80000000000001</v>
      </c>
      <c r="F10">
        <v>120.9</v>
      </c>
      <c r="G10">
        <v>107.3</v>
      </c>
      <c r="H10" s="3">
        <f t="shared" si="0"/>
        <v>0.69625936240864172</v>
      </c>
      <c r="I10">
        <f t="shared" si="1"/>
        <v>0.53646317716810032</v>
      </c>
      <c r="J10">
        <f t="shared" si="2"/>
        <v>0.23224274804046371</v>
      </c>
    </row>
    <row r="11" spans="2:17" x14ac:dyDescent="0.4">
      <c r="B11">
        <v>55.2</v>
      </c>
      <c r="C11">
        <v>74.900000000000006</v>
      </c>
      <c r="D11">
        <v>84.8</v>
      </c>
      <c r="E11">
        <v>137.30000000000001</v>
      </c>
      <c r="F11">
        <v>123.8</v>
      </c>
      <c r="G11">
        <v>98.9</v>
      </c>
      <c r="H11" s="3">
        <f t="shared" si="0"/>
        <v>0.76784848351260793</v>
      </c>
      <c r="I11">
        <f t="shared" si="1"/>
        <v>0.49435051784249384</v>
      </c>
      <c r="J11">
        <f t="shared" si="2"/>
        <v>0.17729073547338473</v>
      </c>
    </row>
    <row r="15" spans="2:17" x14ac:dyDescent="0.4">
      <c r="B15" s="2" t="s">
        <v>11</v>
      </c>
      <c r="C15" s="2"/>
      <c r="D15" s="2"/>
      <c r="E15" s="2" t="s">
        <v>12</v>
      </c>
      <c r="F15" s="2"/>
      <c r="G15" s="2"/>
      <c r="H15" s="2" t="s">
        <v>13</v>
      </c>
      <c r="I15" s="2"/>
      <c r="J15" s="2"/>
      <c r="K15" s="2" t="s">
        <v>14</v>
      </c>
      <c r="L15" s="2"/>
      <c r="M15" s="2"/>
      <c r="N15" s="2" t="s">
        <v>7</v>
      </c>
    </row>
    <row r="16" spans="2:17" x14ac:dyDescent="0.4">
      <c r="B16" t="s">
        <v>8</v>
      </c>
      <c r="C16" t="s">
        <v>9</v>
      </c>
      <c r="D16" t="s">
        <v>10</v>
      </c>
      <c r="E16" t="s">
        <v>1</v>
      </c>
      <c r="F16" t="s">
        <v>2</v>
      </c>
      <c r="G16" t="s">
        <v>3</v>
      </c>
      <c r="H16" t="s">
        <v>1</v>
      </c>
      <c r="I16" t="s">
        <v>2</v>
      </c>
      <c r="J16" t="s">
        <v>3</v>
      </c>
      <c r="K16" t="s">
        <v>1</v>
      </c>
      <c r="L16" t="s">
        <v>2</v>
      </c>
      <c r="M16" t="s">
        <v>3</v>
      </c>
      <c r="N16" s="2"/>
    </row>
    <row r="17" spans="1:13" x14ac:dyDescent="0.4">
      <c r="B17">
        <v>90</v>
      </c>
      <c r="C17">
        <v>120</v>
      </c>
      <c r="D17">
        <v>150</v>
      </c>
      <c r="E17">
        <v>65</v>
      </c>
      <c r="F17">
        <v>55</v>
      </c>
      <c r="G17">
        <v>30</v>
      </c>
    </row>
    <row r="18" spans="1:13" x14ac:dyDescent="0.4">
      <c r="B18">
        <v>105</v>
      </c>
      <c r="C18">
        <v>105</v>
      </c>
      <c r="D18">
        <v>150</v>
      </c>
      <c r="E18">
        <v>100</v>
      </c>
      <c r="F18">
        <v>100</v>
      </c>
      <c r="G18">
        <v>50</v>
      </c>
    </row>
    <row r="19" spans="1:13" x14ac:dyDescent="0.4">
      <c r="B19">
        <v>135</v>
      </c>
      <c r="C19">
        <v>135</v>
      </c>
      <c r="D19">
        <v>90</v>
      </c>
      <c r="E19">
        <v>75</v>
      </c>
      <c r="F19">
        <v>75</v>
      </c>
      <c r="G19">
        <v>110</v>
      </c>
    </row>
    <row r="20" spans="1:13" x14ac:dyDescent="0.4">
      <c r="B20">
        <v>100</v>
      </c>
      <c r="C20">
        <v>110</v>
      </c>
      <c r="D20">
        <v>150</v>
      </c>
      <c r="E20">
        <v>80</v>
      </c>
      <c r="F20">
        <v>75</v>
      </c>
      <c r="G20">
        <v>60</v>
      </c>
    </row>
    <row r="21" spans="1:13" x14ac:dyDescent="0.4">
      <c r="B21">
        <v>90</v>
      </c>
      <c r="C21">
        <v>110</v>
      </c>
      <c r="D21">
        <v>160</v>
      </c>
      <c r="E21">
        <v>100</v>
      </c>
      <c r="F21">
        <v>95</v>
      </c>
      <c r="G21">
        <v>30</v>
      </c>
    </row>
    <row r="24" spans="1:13" x14ac:dyDescent="0.4">
      <c r="A24" s="2" t="s">
        <v>0</v>
      </c>
      <c r="B24" s="2"/>
      <c r="C24" s="2"/>
      <c r="D24" s="2" t="s">
        <v>4</v>
      </c>
      <c r="E24" s="2"/>
      <c r="F24" s="2"/>
      <c r="G24" s="2" t="s">
        <v>5</v>
      </c>
      <c r="H24" s="2"/>
      <c r="I24" s="2"/>
      <c r="J24" s="2" t="s">
        <v>6</v>
      </c>
      <c r="K24" s="2"/>
      <c r="L24" s="2"/>
      <c r="M24" s="2" t="s">
        <v>7</v>
      </c>
    </row>
    <row r="25" spans="1:13" x14ac:dyDescent="0.4">
      <c r="A25" t="s">
        <v>1</v>
      </c>
      <c r="B25" t="s">
        <v>2</v>
      </c>
      <c r="C25" t="s">
        <v>3</v>
      </c>
      <c r="D25" t="s">
        <v>8</v>
      </c>
      <c r="E25" t="s">
        <v>9</v>
      </c>
      <c r="F25" t="s">
        <v>10</v>
      </c>
      <c r="G25" t="s">
        <v>8</v>
      </c>
      <c r="H25" t="s">
        <v>9</v>
      </c>
      <c r="I25" t="s">
        <v>10</v>
      </c>
      <c r="M25" s="2"/>
    </row>
    <row r="26" spans="1:13" x14ac:dyDescent="0.4">
      <c r="A26">
        <v>25.2</v>
      </c>
      <c r="B26">
        <v>54.9</v>
      </c>
      <c r="C26">
        <v>44.8</v>
      </c>
      <c r="D26">
        <v>146</v>
      </c>
      <c r="E26">
        <v>124.5</v>
      </c>
      <c r="F26">
        <v>89.5</v>
      </c>
      <c r="G26" s="3">
        <v>158</v>
      </c>
      <c r="H26">
        <v>72</v>
      </c>
      <c r="I26">
        <f>((A26*9.8)^2+(B26*9.8)^2-(C26*9.8)^2)/(2*A26*B26*9.8^2)</f>
        <v>0.59343467198658428</v>
      </c>
    </row>
    <row r="27" spans="1:13" x14ac:dyDescent="0.4">
      <c r="A27">
        <v>35.200000000000003</v>
      </c>
      <c r="B27">
        <v>44.9</v>
      </c>
      <c r="C27">
        <v>54.8</v>
      </c>
      <c r="D27">
        <v>139.9</v>
      </c>
      <c r="E27">
        <v>129.30000000000001</v>
      </c>
      <c r="F27">
        <v>90.8</v>
      </c>
      <c r="G27" s="3">
        <v>143</v>
      </c>
      <c r="H27">
        <v>127</v>
      </c>
      <c r="I27" s="4">
        <f t="shared" ref="I27:I30" si="3">((A27*9.8)^2+(B27*9.8)^2-(C27*9.8)^2)/(2*A27*B27*9.8^2)</f>
        <v>7.9725779510022438E-2</v>
      </c>
    </row>
    <row r="28" spans="1:13" x14ac:dyDescent="0.4">
      <c r="A28">
        <v>45.2</v>
      </c>
      <c r="B28">
        <v>54.9</v>
      </c>
      <c r="C28">
        <v>54.8</v>
      </c>
      <c r="D28">
        <v>129</v>
      </c>
      <c r="E28">
        <v>114</v>
      </c>
      <c r="F28">
        <v>117</v>
      </c>
      <c r="G28" s="3">
        <v>153</v>
      </c>
      <c r="H28">
        <v>114</v>
      </c>
      <c r="I28">
        <v>114</v>
      </c>
    </row>
    <row r="29" spans="1:13" x14ac:dyDescent="0.4">
      <c r="A29">
        <v>55.2</v>
      </c>
      <c r="B29">
        <v>64.900000000000006</v>
      </c>
      <c r="C29">
        <v>74.8</v>
      </c>
      <c r="D29">
        <v>131.80000000000001</v>
      </c>
      <c r="E29">
        <v>120.9</v>
      </c>
      <c r="F29">
        <v>107.3</v>
      </c>
      <c r="G29" s="3">
        <v>136</v>
      </c>
      <c r="H29">
        <f t="shared" ref="H27:H30" si="4">((C29*9.8)^2+(A29*9.8)^2-(B29*9.8)^2)/(2*A29*C29*9.8^2)</f>
        <v>0.53646317716810032</v>
      </c>
      <c r="I29">
        <f t="shared" si="3"/>
        <v>0.23224274804046371</v>
      </c>
    </row>
    <row r="30" spans="1:13" x14ac:dyDescent="0.4">
      <c r="A30">
        <v>55.2</v>
      </c>
      <c r="B30">
        <v>74.900000000000006</v>
      </c>
      <c r="C30">
        <v>84.8</v>
      </c>
      <c r="D30">
        <v>137.30000000000001</v>
      </c>
      <c r="E30">
        <v>123.8</v>
      </c>
      <c r="F30">
        <v>98.9</v>
      </c>
      <c r="G30" s="3">
        <v>142</v>
      </c>
      <c r="H30">
        <f t="shared" si="4"/>
        <v>0.49435051784249384</v>
      </c>
      <c r="I30">
        <f t="shared" si="3"/>
        <v>0.17729073547338473</v>
      </c>
    </row>
    <row r="33" spans="1:17" x14ac:dyDescent="0.4">
      <c r="A33" s="2" t="s">
        <v>0</v>
      </c>
      <c r="B33" s="2"/>
      <c r="C33" s="2"/>
      <c r="D33" s="2" t="s">
        <v>4</v>
      </c>
      <c r="E33" s="2"/>
      <c r="F33" s="2"/>
      <c r="G33" s="2" t="s">
        <v>5</v>
      </c>
      <c r="H33" s="2"/>
      <c r="I33" s="2"/>
      <c r="J33" s="2" t="s">
        <v>6</v>
      </c>
      <c r="K33" s="2"/>
      <c r="L33" s="2"/>
      <c r="M33" s="1" t="s">
        <v>7</v>
      </c>
      <c r="N33" s="7"/>
    </row>
    <row r="34" spans="1:17" x14ac:dyDescent="0.4">
      <c r="A34" t="s">
        <v>1</v>
      </c>
      <c r="B34" t="s">
        <v>2</v>
      </c>
      <c r="C34" t="s">
        <v>3</v>
      </c>
      <c r="D34" t="s">
        <v>8</v>
      </c>
      <c r="E34" t="s">
        <v>9</v>
      </c>
      <c r="F34" t="s">
        <v>10</v>
      </c>
      <c r="G34" t="s">
        <v>8</v>
      </c>
      <c r="H34" t="s">
        <v>9</v>
      </c>
      <c r="I34" t="s">
        <v>10</v>
      </c>
      <c r="J34" t="s">
        <v>15</v>
      </c>
      <c r="K34" t="s">
        <v>16</v>
      </c>
      <c r="L34" t="s">
        <v>17</v>
      </c>
      <c r="M34" s="8" t="s">
        <v>19</v>
      </c>
      <c r="N34" s="7"/>
    </row>
    <row r="35" spans="1:17" x14ac:dyDescent="0.4">
      <c r="A35">
        <v>25.2</v>
      </c>
      <c r="B35">
        <v>54.9</v>
      </c>
      <c r="C35">
        <v>44.8</v>
      </c>
      <c r="D35">
        <v>146</v>
      </c>
      <c r="E35">
        <v>89.5</v>
      </c>
      <c r="F35">
        <v>124.5</v>
      </c>
      <c r="G35" s="5">
        <f>180 - DEGREES(ACOS(((B35*9.8)^2+(C35*9.8)^2-(A35*9.8)^2)/(2*B35*C35*9.8^2)))</f>
        <v>153.07998478956631</v>
      </c>
      <c r="H35" s="5">
        <f>180 - DEGREES(ACOS(((C35*9.8)^2+(A35*9.8)^2-(B35*9.8)^2)/(2*A35*C35*9.8^2)))</f>
        <v>80.518891531311098</v>
      </c>
      <c r="I35" s="5">
        <f>180 - DEGREES(ACOS(((A35*9.8)^2+(B35*9.8)^2-(C35*9.8)^2)/(2*A35*B35*9.8^2)))</f>
        <v>126.40112367912258</v>
      </c>
      <c r="J35" s="6">
        <v>151</v>
      </c>
      <c r="K35">
        <v>84.5</v>
      </c>
      <c r="L35">
        <v>124.5</v>
      </c>
      <c r="M35" s="9">
        <f>(H35-E35) / H35 * 100</f>
        <v>-11.154038881914376</v>
      </c>
      <c r="N35" s="7"/>
    </row>
    <row r="36" spans="1:17" x14ac:dyDescent="0.4">
      <c r="A36">
        <v>35.200000000000003</v>
      </c>
      <c r="B36">
        <v>44.9</v>
      </c>
      <c r="C36">
        <v>54.8</v>
      </c>
      <c r="D36">
        <v>139.9</v>
      </c>
      <c r="E36">
        <v>129.30000000000001</v>
      </c>
      <c r="F36">
        <v>90.8</v>
      </c>
      <c r="G36" s="5">
        <f t="shared" ref="G36:G39" si="5">180 - DEGREES(ACOS(((B36*9.8)^2+(C36*9.8)^2-(A36*9.8)^2)/(2*B36*C36*9.8^2)))</f>
        <v>140.1864701154071</v>
      </c>
      <c r="H36" s="5">
        <f t="shared" ref="H36:H39" si="6">180 - DEGREES(ACOS(((C36*9.8)^2+(A36*9.8)^2-(B36*9.8)^2)/(2*A36*C36*9.8^2)))</f>
        <v>125.24072617172635</v>
      </c>
      <c r="I36" s="5">
        <f t="shared" ref="I36:I39" si="7">180 - DEGREES(ACOS(((A36*9.8)^2+(B36*9.8)^2-(C36*9.8)^2)/(2*A36*B36*9.8^2)))</f>
        <v>94.572803712866545</v>
      </c>
      <c r="J36" s="6">
        <v>139</v>
      </c>
      <c r="K36">
        <v>125</v>
      </c>
      <c r="L36">
        <v>96</v>
      </c>
      <c r="M36" s="9">
        <f t="shared" ref="M36:M39" si="8">(H36-E36) / H36 * 100</f>
        <v>-3.2411771732365278</v>
      </c>
      <c r="N36" s="7"/>
    </row>
    <row r="37" spans="1:17" x14ac:dyDescent="0.4">
      <c r="A37">
        <v>45.2</v>
      </c>
      <c r="B37">
        <v>54.9</v>
      </c>
      <c r="C37">
        <v>54.8</v>
      </c>
      <c r="D37">
        <v>129</v>
      </c>
      <c r="E37">
        <v>114</v>
      </c>
      <c r="F37">
        <v>117</v>
      </c>
      <c r="G37" s="5">
        <f t="shared" si="5"/>
        <v>131.33491069564008</v>
      </c>
      <c r="H37" s="5">
        <f t="shared" si="6"/>
        <v>114.21704421959349</v>
      </c>
      <c r="I37" s="5">
        <f t="shared" si="7"/>
        <v>114.44804508476643</v>
      </c>
      <c r="J37" s="6">
        <v>131</v>
      </c>
      <c r="K37">
        <v>115</v>
      </c>
      <c r="L37">
        <v>114</v>
      </c>
      <c r="M37" s="9">
        <f t="shared" si="8"/>
        <v>0.19002787287701195</v>
      </c>
      <c r="N37" s="7"/>
    </row>
    <row r="38" spans="1:17" x14ac:dyDescent="0.4">
      <c r="A38">
        <v>55.2</v>
      </c>
      <c r="B38">
        <v>64.900000000000006</v>
      </c>
      <c r="C38">
        <v>74.8</v>
      </c>
      <c r="D38">
        <v>131.80000000000001</v>
      </c>
      <c r="E38">
        <v>120.9</v>
      </c>
      <c r="F38">
        <v>107.3</v>
      </c>
      <c r="G38" s="5">
        <f t="shared" si="5"/>
        <v>134.12765725862388</v>
      </c>
      <c r="H38" s="5">
        <f t="shared" si="6"/>
        <v>122.44319499617173</v>
      </c>
      <c r="I38" s="5">
        <f t="shared" si="7"/>
        <v>103.4291477452044</v>
      </c>
      <c r="J38" s="6">
        <v>133</v>
      </c>
      <c r="K38">
        <v>123</v>
      </c>
      <c r="L38">
        <v>104</v>
      </c>
      <c r="M38" s="9">
        <f t="shared" si="8"/>
        <v>1.2603354528767157</v>
      </c>
      <c r="N38" s="7"/>
    </row>
    <row r="39" spans="1:17" x14ac:dyDescent="0.4">
      <c r="A39">
        <v>55.2</v>
      </c>
      <c r="B39">
        <v>74.900000000000006</v>
      </c>
      <c r="C39">
        <v>84.8</v>
      </c>
      <c r="D39">
        <v>137.30000000000001</v>
      </c>
      <c r="E39">
        <v>123.8</v>
      </c>
      <c r="F39">
        <v>98.9</v>
      </c>
      <c r="G39" s="5">
        <f t="shared" si="5"/>
        <v>140.161075727406</v>
      </c>
      <c r="H39" s="5">
        <f t="shared" si="6"/>
        <v>119.62693186462818</v>
      </c>
      <c r="I39" s="5">
        <f t="shared" si="7"/>
        <v>100.21199240796579</v>
      </c>
      <c r="J39" s="6">
        <v>140.5</v>
      </c>
      <c r="K39">
        <v>119</v>
      </c>
      <c r="L39">
        <v>100.5</v>
      </c>
      <c r="M39" s="9">
        <f t="shared" si="8"/>
        <v>-3.488401876004088</v>
      </c>
      <c r="N39" s="7"/>
    </row>
    <row r="44" spans="1:17" x14ac:dyDescent="0.4">
      <c r="A44" s="2" t="s">
        <v>11</v>
      </c>
      <c r="B44" s="2"/>
      <c r="C44" s="2"/>
      <c r="D44" s="2" t="s">
        <v>12</v>
      </c>
      <c r="E44" s="2"/>
      <c r="F44" s="2"/>
      <c r="G44" s="2" t="s">
        <v>13</v>
      </c>
      <c r="H44" s="2"/>
      <c r="I44" s="2"/>
      <c r="J44" s="2" t="s">
        <v>14</v>
      </c>
      <c r="K44" s="2"/>
      <c r="L44" s="2"/>
      <c r="M44" t="s">
        <v>18</v>
      </c>
      <c r="N44" s="7"/>
    </row>
    <row r="45" spans="1:17" x14ac:dyDescent="0.4">
      <c r="A45" t="s">
        <v>8</v>
      </c>
      <c r="B45" t="s">
        <v>9</v>
      </c>
      <c r="C45" t="s">
        <v>10</v>
      </c>
      <c r="D45" t="s">
        <v>1</v>
      </c>
      <c r="E45" t="s">
        <v>2</v>
      </c>
      <c r="F45" t="s">
        <v>3</v>
      </c>
      <c r="G45" t="s">
        <v>1</v>
      </c>
      <c r="H45" t="s">
        <v>2</v>
      </c>
      <c r="I45" t="s">
        <v>3</v>
      </c>
      <c r="J45" t="s">
        <v>1</v>
      </c>
      <c r="K45" t="s">
        <v>2</v>
      </c>
      <c r="L45" t="s">
        <v>3</v>
      </c>
      <c r="M45" t="s">
        <v>19</v>
      </c>
      <c r="N45" s="7"/>
    </row>
    <row r="46" spans="1:17" x14ac:dyDescent="0.4">
      <c r="A46">
        <v>90</v>
      </c>
      <c r="B46">
        <v>120</v>
      </c>
      <c r="C46">
        <v>150</v>
      </c>
      <c r="D46">
        <v>70.2</v>
      </c>
      <c r="E46">
        <v>59.9</v>
      </c>
      <c r="F46">
        <v>34.799999999999997</v>
      </c>
      <c r="G46" s="5">
        <f>D46</f>
        <v>70.2</v>
      </c>
      <c r="H46" s="5">
        <f>D46 / SIN(RADIANS(180 - A46)) * SIN(RADIANS(180 - B46))</f>
        <v>60.794983345667589</v>
      </c>
      <c r="I46" s="5">
        <f>D46 / SIN(RADIANS(180 - A46)) * SIN(RADIANS(180 - C46))</f>
        <v>35.099999999999994</v>
      </c>
      <c r="J46">
        <f>D46</f>
        <v>70.2</v>
      </c>
      <c r="K46">
        <v>61.2</v>
      </c>
      <c r="L46">
        <v>34.5</v>
      </c>
      <c r="M46" s="5">
        <f>(H46-E46)/H46*100</f>
        <v>1.4721335485510407</v>
      </c>
      <c r="N46" s="7"/>
    </row>
    <row r="47" spans="1:17" x14ac:dyDescent="0.4">
      <c r="A47">
        <v>105</v>
      </c>
      <c r="B47">
        <v>105</v>
      </c>
      <c r="C47">
        <v>150</v>
      </c>
      <c r="D47">
        <v>105.2</v>
      </c>
      <c r="E47">
        <v>104.9</v>
      </c>
      <c r="F47">
        <v>54.8</v>
      </c>
      <c r="G47" s="5">
        <f t="shared" ref="G47:G50" si="9">D47</f>
        <v>105.2</v>
      </c>
      <c r="H47" s="5">
        <f t="shared" ref="H47:H50" si="10">D47 / SIN(RADIANS(180 - A47)) * SIN(RADIANS(180 - B47))</f>
        <v>105.2</v>
      </c>
      <c r="I47" s="5">
        <f t="shared" ref="I47:I50" si="11">D47 / SIN(RADIANS(180 - A47)) * SIN(RADIANS(180 - C47))</f>
        <v>54.45552708957036</v>
      </c>
      <c r="J47">
        <f t="shared" ref="J47:J50" si="12">D47</f>
        <v>105.2</v>
      </c>
      <c r="K47">
        <v>105.5</v>
      </c>
      <c r="L47">
        <v>56</v>
      </c>
      <c r="M47" s="5">
        <f t="shared" ref="M47:M50" si="13">(H47-E47)/H47*100</f>
        <v>0.28517110266159423</v>
      </c>
      <c r="N47" s="7"/>
      <c r="Q47">
        <f>SIN(RADIANS(30))</f>
        <v>0.49999999999999994</v>
      </c>
    </row>
    <row r="48" spans="1:17" x14ac:dyDescent="0.4">
      <c r="A48">
        <v>135</v>
      </c>
      <c r="B48">
        <v>135</v>
      </c>
      <c r="C48">
        <v>90</v>
      </c>
      <c r="D48">
        <v>80.2</v>
      </c>
      <c r="E48">
        <v>79.900000000000006</v>
      </c>
      <c r="F48">
        <v>114.8</v>
      </c>
      <c r="G48" s="5">
        <f t="shared" si="9"/>
        <v>80.2</v>
      </c>
      <c r="H48" s="5">
        <f t="shared" si="10"/>
        <v>80.2</v>
      </c>
      <c r="I48" s="5">
        <f t="shared" si="11"/>
        <v>113.41992770232224</v>
      </c>
      <c r="J48">
        <f t="shared" si="12"/>
        <v>80.2</v>
      </c>
      <c r="K48">
        <v>79.099999999999994</v>
      </c>
      <c r="L48">
        <v>112.1</v>
      </c>
      <c r="M48" s="5">
        <f t="shared" si="13"/>
        <v>0.37406483790523332</v>
      </c>
      <c r="N48" s="7"/>
    </row>
    <row r="49" spans="1:14" x14ac:dyDescent="0.4">
      <c r="A49">
        <v>100</v>
      </c>
      <c r="B49">
        <v>110</v>
      </c>
      <c r="C49">
        <v>150</v>
      </c>
      <c r="D49">
        <v>85.2</v>
      </c>
      <c r="E49">
        <v>79.900000000000006</v>
      </c>
      <c r="F49">
        <v>64.8</v>
      </c>
      <c r="G49" s="5">
        <f t="shared" si="9"/>
        <v>85.2</v>
      </c>
      <c r="H49" s="5">
        <f t="shared" si="10"/>
        <v>81.296893780614781</v>
      </c>
      <c r="I49" s="5">
        <f t="shared" si="11"/>
        <v>43.257173666332733</v>
      </c>
      <c r="J49">
        <f t="shared" si="12"/>
        <v>85.2</v>
      </c>
      <c r="K49">
        <v>81.900000000000006</v>
      </c>
      <c r="L49">
        <v>43.1</v>
      </c>
      <c r="M49" s="5">
        <f t="shared" si="13"/>
        <v>1.7182621815593448</v>
      </c>
      <c r="N49" s="7"/>
    </row>
    <row r="50" spans="1:14" x14ac:dyDescent="0.4">
      <c r="A50">
        <v>90</v>
      </c>
      <c r="B50">
        <v>110</v>
      </c>
      <c r="C50">
        <v>160</v>
      </c>
      <c r="D50">
        <v>105.2</v>
      </c>
      <c r="E50">
        <v>99.9</v>
      </c>
      <c r="F50">
        <v>34.799999999999997</v>
      </c>
      <c r="G50" s="5">
        <f t="shared" si="9"/>
        <v>105.2</v>
      </c>
      <c r="H50" s="5">
        <f t="shared" si="10"/>
        <v>98.855663706677561</v>
      </c>
      <c r="I50" s="5">
        <f t="shared" si="11"/>
        <v>35.98051907786035</v>
      </c>
      <c r="J50">
        <f t="shared" si="12"/>
        <v>105.2</v>
      </c>
      <c r="K50">
        <v>99.2</v>
      </c>
      <c r="L50">
        <v>35.799999999999997</v>
      </c>
      <c r="M50" s="5">
        <f t="shared" si="13"/>
        <v>-1.0564253520376714</v>
      </c>
      <c r="N50" s="7"/>
    </row>
  </sheetData>
  <mergeCells count="23">
    <mergeCell ref="A44:C44"/>
    <mergeCell ref="D44:F44"/>
    <mergeCell ref="G44:I44"/>
    <mergeCell ref="J44:L44"/>
    <mergeCell ref="A33:C33"/>
    <mergeCell ref="D33:F33"/>
    <mergeCell ref="G33:I33"/>
    <mergeCell ref="J33:L33"/>
    <mergeCell ref="A24:C24"/>
    <mergeCell ref="D24:F24"/>
    <mergeCell ref="G24:I24"/>
    <mergeCell ref="J24:L24"/>
    <mergeCell ref="M24:M25"/>
    <mergeCell ref="N5:N6"/>
    <mergeCell ref="N15:N16"/>
    <mergeCell ref="B5:D5"/>
    <mergeCell ref="E5:G5"/>
    <mergeCell ref="H5:J5"/>
    <mergeCell ref="K5:M5"/>
    <mergeCell ref="B15:D15"/>
    <mergeCell ref="E15:G15"/>
    <mergeCell ref="H15:J15"/>
    <mergeCell ref="K15:M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2022-04-04T17:20:43Z</dcterms:created>
  <dcterms:modified xsi:type="dcterms:W3CDTF">2022-04-05T17:27:16Z</dcterms:modified>
</cp:coreProperties>
</file>