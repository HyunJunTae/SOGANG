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user\Desktop\재밌는거♥\.일반물리실험\7주차\"/>
    </mc:Choice>
  </mc:AlternateContent>
  <xr:revisionPtr revIDLastSave="0" documentId="13_ncr:1_{2DB8C6E1-37D1-40EB-ACB8-6A66FE219036}" xr6:coauthVersionLast="36" xr6:coauthVersionMax="36" xr10:uidLastSave="{00000000-0000-0000-0000-000000000000}"/>
  <bookViews>
    <workbookView xWindow="0" yWindow="0" windowWidth="17256" windowHeight="5472" activeTab="1" xr2:uid="{00000000-000D-0000-FFFF-FFFF00000000}"/>
  </bookViews>
  <sheets>
    <sheet name="실험1" sheetId="2" r:id="rId1"/>
    <sheet name="실험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3" l="1"/>
  <c r="L24" i="3"/>
  <c r="J34" i="3"/>
  <c r="J35" i="3"/>
  <c r="J36" i="3"/>
  <c r="J37" i="3"/>
  <c r="J33" i="3"/>
  <c r="J24" i="3"/>
  <c r="J25" i="3"/>
  <c r="J26" i="3"/>
  <c r="J27" i="3"/>
  <c r="J28" i="3"/>
  <c r="N4" i="3"/>
  <c r="N5" i="3"/>
  <c r="N6" i="3"/>
  <c r="N7" i="3"/>
  <c r="N12" i="3"/>
  <c r="N13" i="3"/>
  <c r="N14" i="3"/>
  <c r="N15" i="3"/>
  <c r="N16" i="3"/>
  <c r="N3" i="3"/>
  <c r="M4" i="3"/>
  <c r="M5" i="3"/>
  <c r="M6" i="3"/>
  <c r="M7" i="3"/>
  <c r="M12" i="3"/>
  <c r="M13" i="3"/>
  <c r="M14" i="3"/>
  <c r="M15" i="3"/>
  <c r="M16" i="3"/>
  <c r="M3" i="3"/>
  <c r="L4" i="3"/>
  <c r="L5" i="3"/>
  <c r="L6" i="3"/>
  <c r="L7" i="3"/>
  <c r="L12" i="3"/>
  <c r="L13" i="3"/>
  <c r="L14" i="3"/>
  <c r="L15" i="3"/>
  <c r="L16" i="3"/>
  <c r="L3" i="3"/>
  <c r="C18" i="2"/>
  <c r="C17" i="2"/>
  <c r="C16" i="2"/>
  <c r="C15" i="2"/>
  <c r="C14" i="2"/>
  <c r="C13" i="2"/>
  <c r="F7" i="2"/>
  <c r="F8" i="2"/>
  <c r="F9" i="2"/>
  <c r="F10" i="2"/>
  <c r="F11" i="2"/>
  <c r="F12" i="2"/>
  <c r="F6" i="2"/>
  <c r="D7" i="2"/>
  <c r="D8" i="2"/>
  <c r="D9" i="2"/>
  <c r="D10" i="2"/>
  <c r="D11" i="2"/>
  <c r="D12" i="2"/>
  <c r="D6" i="2"/>
  <c r="E7" i="2"/>
  <c r="E8" i="2"/>
  <c r="E9" i="2"/>
  <c r="E10" i="2"/>
  <c r="E11" i="2"/>
  <c r="E12" i="2"/>
  <c r="E6" i="2"/>
  <c r="C7" i="2"/>
  <c r="C8" i="2"/>
  <c r="C9" i="2"/>
  <c r="C10" i="2"/>
  <c r="C11" i="2"/>
  <c r="C12" i="2"/>
  <c r="C6" i="2"/>
</calcChain>
</file>

<file path=xl/sharedStrings.xml><?xml version="1.0" encoding="utf-8"?>
<sst xmlns="http://schemas.openxmlformats.org/spreadsheetml/2006/main" count="60" uniqueCount="28">
  <si>
    <t>Period (s)</t>
    <phoneticPr fontId="1" type="noConversion"/>
  </si>
  <si>
    <t>distance h (m)</t>
    <phoneticPr fontId="1" type="noConversion"/>
  </si>
  <si>
    <t>exp</t>
    <phoneticPr fontId="1" type="noConversion"/>
  </si>
  <si>
    <t>theory</t>
    <phoneticPr fontId="1" type="noConversion"/>
  </si>
  <si>
    <t>error (%)</t>
    <phoneticPr fontId="1" type="noConversion"/>
  </si>
  <si>
    <t>Gravitational acceleration (m/s^2)</t>
    <phoneticPr fontId="1" type="noConversion"/>
  </si>
  <si>
    <t>진자의 길이 L (m) =</t>
    <phoneticPr fontId="1" type="noConversion"/>
  </si>
  <si>
    <t>1) 구슬1 : 직경 1.6cm, 16.1g</t>
  </si>
  <si>
    <t>d(m)</t>
  </si>
  <si>
    <t>t1(sec)</t>
  </si>
  <si>
    <t>a1(m/s^2)</t>
  </si>
  <si>
    <t>t2</t>
  </si>
  <si>
    <t>a2</t>
  </si>
  <si>
    <t>t3</t>
  </si>
  <si>
    <t>a3</t>
  </si>
  <si>
    <t>t4</t>
  </si>
  <si>
    <t>a4</t>
  </si>
  <si>
    <t>t5</t>
  </si>
  <si>
    <t>a5</t>
  </si>
  <si>
    <t>2) 구슬2 : 직경 1.9cm, 28g</t>
  </si>
  <si>
    <r>
      <t>t</t>
    </r>
    <r>
      <rPr>
        <sz val="9"/>
        <color theme="1"/>
        <rFont val="맑은 고딕"/>
        <family val="3"/>
        <charset val="129"/>
        <scheme val="minor"/>
      </rPr>
      <t>avg</t>
    </r>
    <phoneticPr fontId="1" type="noConversion"/>
  </si>
  <si>
    <r>
      <t>t</t>
    </r>
    <r>
      <rPr>
        <sz val="9"/>
        <color theme="1"/>
        <rFont val="맑은 고딕"/>
        <family val="3"/>
        <charset val="129"/>
        <scheme val="minor"/>
      </rPr>
      <t>avg</t>
    </r>
    <r>
      <rPr>
        <sz val="11"/>
        <color theme="1"/>
        <rFont val="맑은 고딕"/>
        <family val="2"/>
        <charset val="129"/>
        <scheme val="minor"/>
      </rPr>
      <t>^2</t>
    </r>
    <phoneticPr fontId="1" type="noConversion"/>
  </si>
  <si>
    <r>
      <t>a</t>
    </r>
    <r>
      <rPr>
        <sz val="9"/>
        <color theme="1"/>
        <rFont val="맑은 고딕"/>
        <family val="3"/>
        <charset val="129"/>
        <scheme val="minor"/>
      </rPr>
      <t>avg</t>
    </r>
    <phoneticPr fontId="1" type="noConversion"/>
  </si>
  <si>
    <r>
      <t>t</t>
    </r>
    <r>
      <rPr>
        <sz val="8"/>
        <color theme="1"/>
        <rFont val="맑은 고딕"/>
        <family val="3"/>
        <charset val="129"/>
        <scheme val="minor"/>
      </rPr>
      <t>avg</t>
    </r>
  </si>
  <si>
    <r>
      <t>t</t>
    </r>
    <r>
      <rPr>
        <sz val="8"/>
        <color theme="1"/>
        <rFont val="맑은 고딕"/>
        <family val="3"/>
        <charset val="129"/>
        <scheme val="minor"/>
      </rPr>
      <t>avg</t>
    </r>
    <r>
      <rPr>
        <sz val="10"/>
        <color theme="1"/>
        <rFont val="맑은 고딕"/>
        <family val="3"/>
        <charset val="129"/>
        <scheme val="minor"/>
      </rPr>
      <t>^2</t>
    </r>
  </si>
  <si>
    <r>
      <t>a</t>
    </r>
    <r>
      <rPr>
        <sz val="8"/>
        <color theme="1"/>
        <rFont val="맑은 고딕"/>
        <family val="3"/>
        <charset val="129"/>
        <scheme val="minor"/>
      </rPr>
      <t>avg</t>
    </r>
  </si>
  <si>
    <t>오차율(%)</t>
    <phoneticPr fontId="1" type="noConversion"/>
  </si>
  <si>
    <t>a average 전체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</si>
</sst>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"/>
    <numFmt numFmtId="186" formatCode="0.0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2" borderId="0" xfId="1">
      <alignment vertical="center"/>
    </xf>
    <xf numFmtId="0" fontId="2" fillId="3" borderId="0" xfId="2">
      <alignment vertical="center"/>
    </xf>
    <xf numFmtId="2" fontId="0" fillId="0" borderId="0" xfId="0" applyNumberFormat="1">
      <alignment vertical="center"/>
    </xf>
    <xf numFmtId="2" fontId="2" fillId="2" borderId="0" xfId="1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0" fillId="3" borderId="0" xfId="2" applyFont="1">
      <alignment vertical="center"/>
    </xf>
    <xf numFmtId="186" fontId="0" fillId="0" borderId="0" xfId="0" applyNumberFormat="1">
      <alignment vertical="center"/>
    </xf>
    <xf numFmtId="0" fontId="4" fillId="0" borderId="1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5" xfId="0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</cellXfs>
  <cellStyles count="3">
    <cellStyle name="20% - 강조색3" xfId="1" builtinId="38"/>
    <cellStyle name="40% - 강조색3" xfId="2" builtinId="3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8"/>
  <sheetViews>
    <sheetView workbookViewId="0">
      <selection activeCell="A19" sqref="A19"/>
    </sheetView>
  </sheetViews>
  <sheetFormatPr defaultRowHeight="17.399999999999999" x14ac:dyDescent="0.4"/>
  <cols>
    <col min="1" max="1" width="14.69921875" customWidth="1"/>
    <col min="2" max="2" width="9.796875" bestFit="1" customWidth="1"/>
    <col min="3" max="3" width="15.19921875" bestFit="1" customWidth="1"/>
    <col min="4" max="4" width="9.796875" bestFit="1" customWidth="1"/>
    <col min="5" max="5" width="18" customWidth="1"/>
    <col min="6" max="6" width="17.69921875" customWidth="1"/>
  </cols>
  <sheetData>
    <row r="3" spans="1:6" x14ac:dyDescent="0.4">
      <c r="A3" s="11" t="s">
        <v>6</v>
      </c>
      <c r="B3" s="11"/>
      <c r="C3" s="3">
        <v>0.5</v>
      </c>
    </row>
    <row r="4" spans="1:6" x14ac:dyDescent="0.4">
      <c r="A4" s="10" t="s">
        <v>1</v>
      </c>
      <c r="B4" s="10" t="s">
        <v>0</v>
      </c>
      <c r="C4" s="10"/>
      <c r="D4" s="10"/>
      <c r="E4" s="10" t="s">
        <v>5</v>
      </c>
      <c r="F4" s="10"/>
    </row>
    <row r="5" spans="1:6" x14ac:dyDescent="0.4">
      <c r="A5" s="10"/>
      <c r="B5" s="1" t="s">
        <v>2</v>
      </c>
      <c r="C5" s="1" t="s">
        <v>3</v>
      </c>
      <c r="D5" s="1" t="s">
        <v>4</v>
      </c>
      <c r="E5" s="1" t="s">
        <v>2</v>
      </c>
      <c r="F5" s="1" t="s">
        <v>4</v>
      </c>
    </row>
    <row r="6" spans="1:6" x14ac:dyDescent="0.4">
      <c r="A6" s="1">
        <v>0.24</v>
      </c>
      <c r="B6" s="12">
        <v>1.885885885885886</v>
      </c>
      <c r="C6" s="12">
        <f>2*3.14 * SQRT( (0.5^2 + 12*A6^2) / (12 * 9.8 * A6))</f>
        <v>1.14680960388972</v>
      </c>
      <c r="D6" s="12">
        <f>ABS((B6-C6)/C6 * 100)</f>
        <v>64.446293394246595</v>
      </c>
      <c r="E6" s="12">
        <f xml:space="preserve"> (4*3.14*3.14 * (0.5^2 + 12*A6^2)) / (12*A6*B6^2)</f>
        <v>3.6239141249999998</v>
      </c>
      <c r="F6" s="12">
        <f>ABS((9.8-E6)/9.8 * 100)</f>
        <v>63.021284438775517</v>
      </c>
    </row>
    <row r="7" spans="1:6" x14ac:dyDescent="0.4">
      <c r="A7" s="1">
        <v>0.21</v>
      </c>
      <c r="B7" s="12">
        <v>1.1154529307282417</v>
      </c>
      <c r="C7" s="12">
        <f t="shared" ref="C7:C18" si="0">2*3.14 * SQRT( (0.5^2 + 12*A7^2) / (12 * 9.8 * A7))</f>
        <v>1.1155031665328725</v>
      </c>
      <c r="D7" s="12">
        <f t="shared" ref="D7:D12" si="1">ABS((B7-C7)/C7 * 100)</f>
        <v>4.5034210693417715E-3</v>
      </c>
      <c r="E7" s="12">
        <f t="shared" ref="E7:E12" si="2" xml:space="preserve"> (4*3.14*3.14 * (0.5^2 + 12*A7^2)) / (12*A7*B7^2)</f>
        <v>9.800882730158726</v>
      </c>
      <c r="F7" s="12">
        <f t="shared" ref="F7:F12" si="3">ABS((9.8-E7)/9.8 * 100)</f>
        <v>9.0074505992378453E-3</v>
      </c>
    </row>
    <row r="8" spans="1:6" x14ac:dyDescent="0.4">
      <c r="A8" s="1">
        <v>0.18</v>
      </c>
      <c r="B8" s="12">
        <v>1.0921739130434782</v>
      </c>
      <c r="C8" s="12">
        <f t="shared" si="0"/>
        <v>1.0909433116096734</v>
      </c>
      <c r="D8" s="12">
        <f t="shared" si="1"/>
        <v>0.11280159296169899</v>
      </c>
      <c r="E8" s="12">
        <f t="shared" si="2"/>
        <v>9.7779282407407422</v>
      </c>
      <c r="F8" s="12">
        <f t="shared" si="3"/>
        <v>0.22522203325774007</v>
      </c>
    </row>
    <row r="9" spans="1:6" x14ac:dyDescent="0.4">
      <c r="A9" s="1">
        <v>0.15</v>
      </c>
      <c r="B9" s="12">
        <v>1.0790378006872852</v>
      </c>
      <c r="C9" s="12">
        <f t="shared" si="0"/>
        <v>1.0782315242816121</v>
      </c>
      <c r="D9" s="12">
        <f t="shared" si="1"/>
        <v>7.4777669500091334E-2</v>
      </c>
      <c r="E9" s="12">
        <f t="shared" si="2"/>
        <v>9.7853600000000007</v>
      </c>
      <c r="F9" s="12">
        <f t="shared" si="3"/>
        <v>0.14938775510204066</v>
      </c>
    </row>
    <row r="10" spans="1:6" x14ac:dyDescent="0.4">
      <c r="A10" s="1">
        <v>0.12</v>
      </c>
      <c r="B10" s="12">
        <v>1.07703580066972</v>
      </c>
      <c r="C10" s="12">
        <f t="shared" si="0"/>
        <v>1.0870082723360408</v>
      </c>
      <c r="D10" s="12">
        <f t="shared" si="1"/>
        <v>0.91742371425466396</v>
      </c>
      <c r="E10" s="12">
        <f t="shared" si="2"/>
        <v>9.9823201666640671</v>
      </c>
      <c r="F10" s="12">
        <f t="shared" si="3"/>
        <v>1.8604098639190443</v>
      </c>
    </row>
    <row r="11" spans="1:6" x14ac:dyDescent="0.4">
      <c r="A11" s="2">
        <v>0.09</v>
      </c>
      <c r="B11" s="12">
        <v>1.03562386980108</v>
      </c>
      <c r="C11" s="12">
        <f t="shared" si="0"/>
        <v>1.1374297582824424</v>
      </c>
      <c r="D11" s="12">
        <f t="shared" si="1"/>
        <v>8.9505209214055341</v>
      </c>
      <c r="E11" s="12">
        <f t="shared" si="2"/>
        <v>11.821460757337173</v>
      </c>
      <c r="F11" s="12">
        <f t="shared" si="3"/>
        <v>20.627150585073181</v>
      </c>
    </row>
    <row r="12" spans="1:6" x14ac:dyDescent="0.4">
      <c r="A12" s="2">
        <v>0.06</v>
      </c>
      <c r="B12" s="12">
        <v>2</v>
      </c>
      <c r="C12" s="12">
        <f t="shared" si="0"/>
        <v>1.2801543628577627</v>
      </c>
      <c r="D12" s="12">
        <f t="shared" si="1"/>
        <v>56.231159149845347</v>
      </c>
      <c r="E12" s="12">
        <f t="shared" si="2"/>
        <v>4.015048222222223</v>
      </c>
      <c r="F12" s="12">
        <f t="shared" si="3"/>
        <v>59.030120181405884</v>
      </c>
    </row>
    <row r="13" spans="1:6" x14ac:dyDescent="0.4">
      <c r="A13" s="4">
        <v>1</v>
      </c>
      <c r="C13" s="12">
        <f t="shared" si="0"/>
        <v>2.0268612845152147</v>
      </c>
    </row>
    <row r="14" spans="1:6" x14ac:dyDescent="0.4">
      <c r="A14" s="4">
        <v>2</v>
      </c>
      <c r="C14" s="12">
        <f t="shared" si="0"/>
        <v>2.8443932796383309</v>
      </c>
    </row>
    <row r="15" spans="1:6" x14ac:dyDescent="0.4">
      <c r="A15" s="4">
        <v>3</v>
      </c>
      <c r="C15" s="12">
        <f t="shared" si="0"/>
        <v>3.4786385704546654</v>
      </c>
    </row>
    <row r="16" spans="1:6" x14ac:dyDescent="0.4">
      <c r="A16" s="4">
        <v>4</v>
      </c>
      <c r="C16" s="12">
        <f t="shared" si="0"/>
        <v>4.014756051924274</v>
      </c>
    </row>
    <row r="17" spans="1:3" x14ac:dyDescent="0.4">
      <c r="A17" s="4">
        <v>5</v>
      </c>
      <c r="C17" s="12">
        <f t="shared" si="0"/>
        <v>4.4875829441105726</v>
      </c>
    </row>
    <row r="18" spans="1:3" x14ac:dyDescent="0.4">
      <c r="A18" s="4">
        <v>6</v>
      </c>
      <c r="C18" s="12">
        <f t="shared" si="0"/>
        <v>4.9152754286695401</v>
      </c>
    </row>
  </sheetData>
  <mergeCells count="4">
    <mergeCell ref="B4:D4"/>
    <mergeCell ref="A4:A5"/>
    <mergeCell ref="E4:F4"/>
    <mergeCell ref="A3:B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tabSelected="1" topLeftCell="A22" workbookViewId="0">
      <selection activeCell="L33" sqref="L33"/>
    </sheetView>
  </sheetViews>
  <sheetFormatPr defaultRowHeight="17.399999999999999" x14ac:dyDescent="0.4"/>
  <cols>
    <col min="12" max="12" width="12.8984375" customWidth="1"/>
  </cols>
  <sheetData>
    <row r="1" spans="1:14" x14ac:dyDescent="0.4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4" x14ac:dyDescent="0.4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13" t="s">
        <v>20</v>
      </c>
      <c r="M2" s="13" t="s">
        <v>21</v>
      </c>
      <c r="N2" s="13" t="s">
        <v>22</v>
      </c>
    </row>
    <row r="3" spans="1:14" x14ac:dyDescent="0.4">
      <c r="A3" s="8">
        <v>0.2</v>
      </c>
      <c r="B3" s="9">
        <v>0.2</v>
      </c>
      <c r="C3" s="6">
        <v>9.9499999999999993</v>
      </c>
      <c r="D3" s="8">
        <v>0.2</v>
      </c>
      <c r="E3" s="5">
        <v>9.77</v>
      </c>
      <c r="F3" s="9">
        <v>0.2</v>
      </c>
      <c r="G3" s="6">
        <v>9.58</v>
      </c>
      <c r="H3" s="5">
        <v>0.2</v>
      </c>
      <c r="I3" s="5">
        <v>9.67</v>
      </c>
      <c r="J3" s="9">
        <v>0.2</v>
      </c>
      <c r="K3" s="6">
        <v>9.7200000000000006</v>
      </c>
      <c r="L3" s="8">
        <f>AVERAGE(B3,D3,F3,H3,J3)</f>
        <v>0.2</v>
      </c>
      <c r="M3" s="14">
        <f>L3^2</f>
        <v>4.0000000000000008E-2</v>
      </c>
      <c r="N3">
        <f>AVERAGE(C3,E3,G3,I3,K3)</f>
        <v>9.7379999999999995</v>
      </c>
    </row>
    <row r="4" spans="1:14" x14ac:dyDescent="0.4">
      <c r="A4" s="5">
        <v>0.25</v>
      </c>
      <c r="B4" s="6">
        <v>0.24</v>
      </c>
      <c r="C4" s="6">
        <v>9.8699999999999992</v>
      </c>
      <c r="D4" s="5">
        <v>0.24</v>
      </c>
      <c r="E4" s="5">
        <v>9.73</v>
      </c>
      <c r="F4" s="6">
        <v>0.24</v>
      </c>
      <c r="G4" s="6">
        <v>9.7899999999999991</v>
      </c>
      <c r="H4" s="5">
        <v>0.24</v>
      </c>
      <c r="I4" s="5">
        <v>9.5299999999999994</v>
      </c>
      <c r="J4" s="6">
        <v>0.24</v>
      </c>
      <c r="K4" s="6">
        <v>9.75</v>
      </c>
      <c r="L4" s="8">
        <f t="shared" ref="L4:L16" si="0">AVERAGE(B4,D4,F4,H4,J4)</f>
        <v>0.24</v>
      </c>
      <c r="M4" s="14">
        <f t="shared" ref="M4:M16" si="1">L4^2</f>
        <v>5.7599999999999998E-2</v>
      </c>
      <c r="N4" s="5">
        <f t="shared" ref="N4:N16" si="2">AVERAGE(C4,E4,G4,I4,K4)</f>
        <v>9.734</v>
      </c>
    </row>
    <row r="5" spans="1:14" x14ac:dyDescent="0.4">
      <c r="A5" s="8">
        <v>0.3</v>
      </c>
      <c r="B5" s="6">
        <v>0.26</v>
      </c>
      <c r="C5" s="6">
        <v>9.5399999999999991</v>
      </c>
      <c r="D5" s="5">
        <v>0.26</v>
      </c>
      <c r="E5" s="5">
        <v>9.64</v>
      </c>
      <c r="F5" s="6">
        <v>0.26</v>
      </c>
      <c r="G5" s="6">
        <v>9.7200000000000006</v>
      </c>
      <c r="H5" s="5">
        <v>0.26</v>
      </c>
      <c r="I5" s="5">
        <v>9.82</v>
      </c>
      <c r="J5" s="6">
        <v>0.26</v>
      </c>
      <c r="K5" s="6">
        <v>9.6</v>
      </c>
      <c r="L5" s="8">
        <f t="shared" si="0"/>
        <v>0.26</v>
      </c>
      <c r="M5" s="14">
        <f t="shared" si="1"/>
        <v>6.7600000000000007E-2</v>
      </c>
      <c r="N5" s="5">
        <f t="shared" si="2"/>
        <v>9.6639999999999997</v>
      </c>
    </row>
    <row r="6" spans="1:14" x14ac:dyDescent="0.4">
      <c r="A6" s="5">
        <v>0.35</v>
      </c>
      <c r="B6" s="6">
        <v>0.28000000000000003</v>
      </c>
      <c r="C6" s="6">
        <v>9.76</v>
      </c>
      <c r="D6" s="5">
        <v>0.28000000000000003</v>
      </c>
      <c r="E6" s="5">
        <v>9.73</v>
      </c>
      <c r="F6" s="6">
        <v>0.28000000000000003</v>
      </c>
      <c r="G6" s="6">
        <v>9.84</v>
      </c>
      <c r="H6" s="5">
        <v>0.28000000000000003</v>
      </c>
      <c r="I6" s="5">
        <v>9.66</v>
      </c>
      <c r="J6" s="6">
        <v>0.28000000000000003</v>
      </c>
      <c r="K6" s="6">
        <v>9.7799999999999994</v>
      </c>
      <c r="L6" s="8">
        <f t="shared" si="0"/>
        <v>0.28000000000000003</v>
      </c>
      <c r="M6" s="14">
        <f t="shared" si="1"/>
        <v>7.8400000000000011E-2</v>
      </c>
      <c r="N6" s="5">
        <f t="shared" si="2"/>
        <v>9.7540000000000013</v>
      </c>
    </row>
    <row r="7" spans="1:14" x14ac:dyDescent="0.4">
      <c r="A7" s="8">
        <v>0.4</v>
      </c>
      <c r="B7" s="6">
        <v>0.28999999999999998</v>
      </c>
      <c r="C7" s="6">
        <v>9.8800000000000008</v>
      </c>
      <c r="D7" s="5">
        <v>0.28999999999999998</v>
      </c>
      <c r="E7" s="5">
        <v>9.59</v>
      </c>
      <c r="F7" s="6">
        <v>0.28999999999999998</v>
      </c>
      <c r="G7" s="6">
        <v>9.76</v>
      </c>
      <c r="H7" s="5">
        <v>0.28999999999999998</v>
      </c>
      <c r="I7" s="5">
        <v>9.7100000000000009</v>
      </c>
      <c r="J7" s="6">
        <v>0.28999999999999998</v>
      </c>
      <c r="K7" s="6">
        <v>9.81</v>
      </c>
      <c r="L7" s="8">
        <f t="shared" si="0"/>
        <v>0.28999999999999998</v>
      </c>
      <c r="M7" s="14">
        <f t="shared" si="1"/>
        <v>8.4099999999999994E-2</v>
      </c>
      <c r="N7" s="5">
        <f t="shared" si="2"/>
        <v>9.75</v>
      </c>
    </row>
    <row r="8" spans="1:14" x14ac:dyDescent="0.4">
      <c r="L8" s="8"/>
      <c r="M8" s="14"/>
      <c r="N8" s="5"/>
    </row>
    <row r="9" spans="1:14" x14ac:dyDescent="0.4">
      <c r="L9" s="8"/>
      <c r="M9" s="14"/>
      <c r="N9" s="5"/>
    </row>
    <row r="10" spans="1:14" x14ac:dyDescent="0.4">
      <c r="A10" s="5" t="s">
        <v>19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8"/>
      <c r="M10" s="14"/>
      <c r="N10" s="5"/>
    </row>
    <row r="11" spans="1:14" x14ac:dyDescent="0.4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  <c r="K11" s="7" t="s">
        <v>18</v>
      </c>
      <c r="L11" s="13" t="s">
        <v>20</v>
      </c>
      <c r="M11" s="13" t="s">
        <v>21</v>
      </c>
      <c r="N11" s="13" t="s">
        <v>22</v>
      </c>
    </row>
    <row r="12" spans="1:14" x14ac:dyDescent="0.4">
      <c r="A12" s="8">
        <v>0.2</v>
      </c>
      <c r="B12" s="9">
        <v>0.2</v>
      </c>
      <c r="C12" s="6">
        <v>9.85</v>
      </c>
      <c r="D12" s="5">
        <v>0.2</v>
      </c>
      <c r="E12" s="5">
        <v>10.07</v>
      </c>
      <c r="F12" s="9">
        <v>0.2</v>
      </c>
      <c r="G12" s="6">
        <v>9.92</v>
      </c>
      <c r="H12" s="5">
        <v>0.2</v>
      </c>
      <c r="I12" s="5">
        <v>9.91</v>
      </c>
      <c r="J12" s="9">
        <v>0.2</v>
      </c>
      <c r="K12" s="6">
        <v>9.89</v>
      </c>
      <c r="L12" s="8">
        <f t="shared" si="0"/>
        <v>0.2</v>
      </c>
      <c r="M12" s="14">
        <f t="shared" si="1"/>
        <v>4.0000000000000008E-2</v>
      </c>
      <c r="N12" s="5">
        <f t="shared" si="2"/>
        <v>9.9280000000000008</v>
      </c>
    </row>
    <row r="13" spans="1:14" x14ac:dyDescent="0.4">
      <c r="A13" s="5">
        <v>0.25</v>
      </c>
      <c r="B13" s="6">
        <v>0.23</v>
      </c>
      <c r="C13" s="6">
        <v>9.86</v>
      </c>
      <c r="D13" s="5">
        <v>0.23</v>
      </c>
      <c r="E13" s="8">
        <v>9.8000000000000007</v>
      </c>
      <c r="F13" s="6">
        <v>0.23</v>
      </c>
      <c r="G13" s="6">
        <v>9.93</v>
      </c>
      <c r="H13" s="5">
        <v>0.23</v>
      </c>
      <c r="I13" s="5">
        <v>9.77</v>
      </c>
      <c r="J13" s="6">
        <v>0.23</v>
      </c>
      <c r="K13" s="6">
        <v>9.85</v>
      </c>
      <c r="L13" s="8">
        <f t="shared" si="0"/>
        <v>0.23000000000000004</v>
      </c>
      <c r="M13" s="14">
        <f t="shared" si="1"/>
        <v>5.2900000000000016E-2</v>
      </c>
      <c r="N13" s="5">
        <f t="shared" si="2"/>
        <v>9.8420000000000005</v>
      </c>
    </row>
    <row r="14" spans="1:14" x14ac:dyDescent="0.4">
      <c r="A14" s="8">
        <v>0.3</v>
      </c>
      <c r="B14" s="6">
        <v>0.25</v>
      </c>
      <c r="C14" s="6">
        <v>9.76</v>
      </c>
      <c r="D14" s="5">
        <v>0.25</v>
      </c>
      <c r="E14" s="5">
        <v>9.7799999999999994</v>
      </c>
      <c r="F14" s="6">
        <v>0.25</v>
      </c>
      <c r="G14" s="6">
        <v>9.84</v>
      </c>
      <c r="H14" s="5">
        <v>0.25</v>
      </c>
      <c r="I14" s="5">
        <v>9.82</v>
      </c>
      <c r="J14" s="6">
        <v>0.25</v>
      </c>
      <c r="K14" s="6">
        <v>9.93</v>
      </c>
      <c r="L14" s="8">
        <f t="shared" si="0"/>
        <v>0.25</v>
      </c>
      <c r="M14" s="14">
        <f t="shared" si="1"/>
        <v>6.25E-2</v>
      </c>
      <c r="N14" s="5">
        <f t="shared" si="2"/>
        <v>9.8260000000000005</v>
      </c>
    </row>
    <row r="15" spans="1:14" x14ac:dyDescent="0.4">
      <c r="A15" s="5">
        <v>0.35</v>
      </c>
      <c r="B15" s="6">
        <v>0.27</v>
      </c>
      <c r="C15" s="6">
        <v>9.68</v>
      </c>
      <c r="D15" s="5">
        <v>0.27</v>
      </c>
      <c r="E15" s="5">
        <v>9.74</v>
      </c>
      <c r="F15" s="6">
        <v>0.27</v>
      </c>
      <c r="G15" s="6">
        <v>9.89</v>
      </c>
      <c r="H15" s="5">
        <v>0.27</v>
      </c>
      <c r="I15" s="5">
        <v>9.7899999999999991</v>
      </c>
      <c r="J15" s="6">
        <v>0.27</v>
      </c>
      <c r="K15" s="6">
        <v>9.83</v>
      </c>
      <c r="L15" s="8">
        <f t="shared" si="0"/>
        <v>0.27</v>
      </c>
      <c r="M15" s="14">
        <f t="shared" si="1"/>
        <v>7.2900000000000006E-2</v>
      </c>
      <c r="N15" s="5">
        <f t="shared" si="2"/>
        <v>9.7859999999999996</v>
      </c>
    </row>
    <row r="16" spans="1:14" x14ac:dyDescent="0.4">
      <c r="A16" s="8">
        <v>0.4</v>
      </c>
      <c r="B16" s="6">
        <v>0.28000000000000003</v>
      </c>
      <c r="C16" s="6">
        <v>9.8699999999999992</v>
      </c>
      <c r="D16" s="5">
        <v>0.28000000000000003</v>
      </c>
      <c r="E16" s="8">
        <v>9.8000000000000007</v>
      </c>
      <c r="F16" s="6">
        <v>0.28000000000000003</v>
      </c>
      <c r="G16" s="6">
        <v>9.82</v>
      </c>
      <c r="H16" s="5">
        <v>0.28000000000000003</v>
      </c>
      <c r="I16" s="5">
        <v>9.8800000000000008</v>
      </c>
      <c r="J16" s="6">
        <v>0.28000000000000003</v>
      </c>
      <c r="K16" s="6">
        <v>9.86</v>
      </c>
      <c r="L16" s="8">
        <f t="shared" si="0"/>
        <v>0.28000000000000003</v>
      </c>
      <c r="M16" s="14">
        <f t="shared" si="1"/>
        <v>7.8400000000000011E-2</v>
      </c>
      <c r="N16" s="5">
        <f t="shared" si="2"/>
        <v>9.8460000000000001</v>
      </c>
    </row>
    <row r="22" spans="1:12" ht="18" thickBot="1" x14ac:dyDescent="0.45"/>
    <row r="23" spans="1:12" ht="31.8" thickBot="1" x14ac:dyDescent="0.45">
      <c r="A23" s="15" t="s">
        <v>8</v>
      </c>
      <c r="B23" s="16" t="s">
        <v>9</v>
      </c>
      <c r="C23" s="16" t="s">
        <v>11</v>
      </c>
      <c r="D23" s="16" t="s">
        <v>13</v>
      </c>
      <c r="E23" s="16" t="s">
        <v>15</v>
      </c>
      <c r="F23" s="16" t="s">
        <v>17</v>
      </c>
      <c r="G23" s="16" t="s">
        <v>23</v>
      </c>
      <c r="H23" s="16" t="s">
        <v>24</v>
      </c>
      <c r="I23" s="16" t="s">
        <v>25</v>
      </c>
      <c r="J23" s="19" t="s">
        <v>26</v>
      </c>
      <c r="L23" s="20" t="s">
        <v>27</v>
      </c>
    </row>
    <row r="24" spans="1:12" ht="18" thickBot="1" x14ac:dyDescent="0.45">
      <c r="A24" s="17">
        <v>0.2</v>
      </c>
      <c r="B24" s="18">
        <v>0.2</v>
      </c>
      <c r="C24" s="18">
        <v>0.2</v>
      </c>
      <c r="D24" s="18">
        <v>0.2</v>
      </c>
      <c r="E24" s="18">
        <v>0.2</v>
      </c>
      <c r="F24" s="18">
        <v>0.2</v>
      </c>
      <c r="G24" s="18">
        <v>0.2</v>
      </c>
      <c r="H24" s="18">
        <v>0.04</v>
      </c>
      <c r="I24" s="18">
        <v>9.7379999999999995</v>
      </c>
      <c r="J24">
        <f>ABS((9.8-I24)/9.8*100)</f>
        <v>0.6326530612245016</v>
      </c>
      <c r="L24">
        <f>AVERAGE(I24:I28)</f>
        <v>9.7279999999999998</v>
      </c>
    </row>
    <row r="25" spans="1:12" ht="18" thickBot="1" x14ac:dyDescent="0.45">
      <c r="A25" s="17">
        <v>0.25</v>
      </c>
      <c r="B25" s="18">
        <v>0.24</v>
      </c>
      <c r="C25" s="18">
        <v>0.24</v>
      </c>
      <c r="D25" s="18">
        <v>0.24</v>
      </c>
      <c r="E25" s="18">
        <v>0.24</v>
      </c>
      <c r="F25" s="18">
        <v>0.24</v>
      </c>
      <c r="G25" s="18">
        <v>0.24</v>
      </c>
      <c r="H25" s="18">
        <v>0.06</v>
      </c>
      <c r="I25" s="18">
        <v>9.734</v>
      </c>
      <c r="J25" s="5">
        <f t="shared" ref="J25:J28" si="3">ABS((9.8-I25)/9.8*100)</f>
        <v>0.67346938775510945</v>
      </c>
    </row>
    <row r="26" spans="1:12" ht="18" thickBot="1" x14ac:dyDescent="0.45">
      <c r="A26" s="17">
        <v>0.3</v>
      </c>
      <c r="B26" s="18">
        <v>0.26</v>
      </c>
      <c r="C26" s="18">
        <v>0.26</v>
      </c>
      <c r="D26" s="18">
        <v>0.26</v>
      </c>
      <c r="E26" s="18">
        <v>0.26</v>
      </c>
      <c r="F26" s="18">
        <v>0.26</v>
      </c>
      <c r="G26" s="18">
        <v>0.26</v>
      </c>
      <c r="H26" s="18">
        <v>7.0000000000000007E-2</v>
      </c>
      <c r="I26" s="18">
        <v>9.6639999999999997</v>
      </c>
      <c r="J26" s="5">
        <f t="shared" si="3"/>
        <v>1.3877551020408265</v>
      </c>
    </row>
    <row r="27" spans="1:12" ht="18" thickBot="1" x14ac:dyDescent="0.45">
      <c r="A27" s="17">
        <v>0.35</v>
      </c>
      <c r="B27" s="18">
        <v>0.28000000000000003</v>
      </c>
      <c r="C27" s="18">
        <v>0.28000000000000003</v>
      </c>
      <c r="D27" s="18">
        <v>0.28000000000000003</v>
      </c>
      <c r="E27" s="18">
        <v>0.28000000000000003</v>
      </c>
      <c r="F27" s="18">
        <v>0.28000000000000003</v>
      </c>
      <c r="G27" s="18">
        <v>0.28000000000000003</v>
      </c>
      <c r="H27" s="18">
        <v>0.08</v>
      </c>
      <c r="I27" s="18">
        <v>9.7539999999999996</v>
      </c>
      <c r="J27" s="5">
        <f t="shared" si="3"/>
        <v>0.4693877551020525</v>
      </c>
    </row>
    <row r="28" spans="1:12" ht="18" thickBot="1" x14ac:dyDescent="0.45">
      <c r="A28" s="17">
        <v>0.4</v>
      </c>
      <c r="B28" s="18">
        <v>0.28999999999999998</v>
      </c>
      <c r="C28" s="18">
        <v>0.28999999999999998</v>
      </c>
      <c r="D28" s="18">
        <v>0.28999999999999998</v>
      </c>
      <c r="E28" s="18">
        <v>0.28999999999999998</v>
      </c>
      <c r="F28" s="18">
        <v>0.28999999999999998</v>
      </c>
      <c r="G28" s="18">
        <v>0.28999999999999998</v>
      </c>
      <c r="H28" s="18">
        <v>0.08</v>
      </c>
      <c r="I28" s="18">
        <v>9.75</v>
      </c>
      <c r="J28" s="5">
        <f t="shared" si="3"/>
        <v>0.51020408163266029</v>
      </c>
    </row>
    <row r="31" spans="1:12" ht="18" thickBot="1" x14ac:dyDescent="0.45"/>
    <row r="32" spans="1:12" ht="18" thickBot="1" x14ac:dyDescent="0.45">
      <c r="A32" s="15" t="s">
        <v>8</v>
      </c>
      <c r="B32" s="16" t="s">
        <v>9</v>
      </c>
      <c r="C32" s="16" t="s">
        <v>11</v>
      </c>
      <c r="D32" s="16" t="s">
        <v>13</v>
      </c>
      <c r="E32" s="16" t="s">
        <v>15</v>
      </c>
      <c r="F32" s="16" t="s">
        <v>17</v>
      </c>
      <c r="G32" s="16" t="s">
        <v>23</v>
      </c>
      <c r="H32" s="16" t="s">
        <v>24</v>
      </c>
      <c r="I32" s="16" t="s">
        <v>25</v>
      </c>
      <c r="J32" s="19" t="s">
        <v>26</v>
      </c>
      <c r="L32">
        <f>AVERAGE(I33:I37)</f>
        <v>9.845600000000001</v>
      </c>
    </row>
    <row r="33" spans="1:10" ht="18" thickBot="1" x14ac:dyDescent="0.45">
      <c r="A33" s="17">
        <v>0.2</v>
      </c>
      <c r="B33" s="18">
        <v>0.2</v>
      </c>
      <c r="C33" s="18">
        <v>0.2</v>
      </c>
      <c r="D33" s="18">
        <v>0.2</v>
      </c>
      <c r="E33" s="18">
        <v>0.2</v>
      </c>
      <c r="F33" s="18">
        <v>0.2</v>
      </c>
      <c r="G33" s="18">
        <v>0.2</v>
      </c>
      <c r="H33" s="18">
        <v>0.04</v>
      </c>
      <c r="I33" s="18">
        <v>9.9280000000000008</v>
      </c>
      <c r="J33">
        <f>ABS((9.8-I33)/9.8*100)</f>
        <v>1.3061224489795928</v>
      </c>
    </row>
    <row r="34" spans="1:10" ht="18" thickBot="1" x14ac:dyDescent="0.45">
      <c r="A34" s="17">
        <v>0.25</v>
      </c>
      <c r="B34" s="18">
        <v>0.23</v>
      </c>
      <c r="C34" s="18">
        <v>0.23</v>
      </c>
      <c r="D34" s="18">
        <v>0.23</v>
      </c>
      <c r="E34" s="18">
        <v>0.23</v>
      </c>
      <c r="F34" s="18">
        <v>0.23</v>
      </c>
      <c r="G34" s="18">
        <v>0.23</v>
      </c>
      <c r="H34" s="18">
        <v>0.05</v>
      </c>
      <c r="I34" s="18">
        <v>9.8420000000000005</v>
      </c>
      <c r="J34" s="5">
        <f t="shared" ref="J34:J37" si="4">ABS((9.8-I34)/9.8*100)</f>
        <v>0.42857142857142666</v>
      </c>
    </row>
    <row r="35" spans="1:10" ht="18" thickBot="1" x14ac:dyDescent="0.45">
      <c r="A35" s="17">
        <v>0.3</v>
      </c>
      <c r="B35" s="18">
        <v>0.25</v>
      </c>
      <c r="C35" s="18">
        <v>0.25</v>
      </c>
      <c r="D35" s="18">
        <v>0.25</v>
      </c>
      <c r="E35" s="18">
        <v>0.25</v>
      </c>
      <c r="F35" s="18">
        <v>0.25</v>
      </c>
      <c r="G35" s="18">
        <v>0.25</v>
      </c>
      <c r="H35" s="18">
        <v>0.06</v>
      </c>
      <c r="I35" s="18">
        <v>9.8260000000000005</v>
      </c>
      <c r="J35" s="5">
        <f t="shared" si="4"/>
        <v>0.2653061224489775</v>
      </c>
    </row>
    <row r="36" spans="1:10" ht="18" thickBot="1" x14ac:dyDescent="0.45">
      <c r="A36" s="17">
        <v>0.35</v>
      </c>
      <c r="B36" s="18">
        <v>0.27</v>
      </c>
      <c r="C36" s="18">
        <v>0.27</v>
      </c>
      <c r="D36" s="18">
        <v>0.27</v>
      </c>
      <c r="E36" s="18">
        <v>0.27</v>
      </c>
      <c r="F36" s="18">
        <v>0.27</v>
      </c>
      <c r="G36" s="18">
        <v>0.27</v>
      </c>
      <c r="H36" s="18">
        <v>7.0000000000000007E-2</v>
      </c>
      <c r="I36" s="18">
        <v>9.7859999999999996</v>
      </c>
      <c r="J36" s="5">
        <f t="shared" si="4"/>
        <v>0.14285714285715431</v>
      </c>
    </row>
    <row r="37" spans="1:10" ht="18" thickBot="1" x14ac:dyDescent="0.45">
      <c r="A37" s="17">
        <v>0.4</v>
      </c>
      <c r="B37" s="18">
        <v>0.28000000000000003</v>
      </c>
      <c r="C37" s="18">
        <v>0.28000000000000003</v>
      </c>
      <c r="D37" s="18">
        <v>0.28000000000000003</v>
      </c>
      <c r="E37" s="18">
        <v>0.28000000000000003</v>
      </c>
      <c r="F37" s="18">
        <v>0.28000000000000003</v>
      </c>
      <c r="G37" s="18">
        <v>0.28000000000000003</v>
      </c>
      <c r="H37" s="18">
        <v>0.08</v>
      </c>
      <c r="I37" s="18">
        <v>9.8460000000000001</v>
      </c>
      <c r="J37" s="5">
        <f t="shared" si="4"/>
        <v>0.4693877551020344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실험1</vt:lpstr>
      <vt:lpstr>실험2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일반물리실험</dc:creator>
  <cp:lastModifiedBy>user</cp:lastModifiedBy>
  <dcterms:created xsi:type="dcterms:W3CDTF">2020-06-17T06:42:43Z</dcterms:created>
  <dcterms:modified xsi:type="dcterms:W3CDTF">2022-05-05T11:56:21Z</dcterms:modified>
</cp:coreProperties>
</file>