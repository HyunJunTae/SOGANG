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바탕 화면\"/>
    </mc:Choice>
  </mc:AlternateContent>
  <xr:revisionPtr revIDLastSave="30" documentId="8_{A377682E-9FCB-46D2-A96C-FE07D5D99490}" xr6:coauthVersionLast="36" xr6:coauthVersionMax="36" xr10:uidLastSave="{AEA097F0-79D8-45E6-A636-E03D27CF31AB}"/>
  <bookViews>
    <workbookView xWindow="0" yWindow="0" windowWidth="17256" windowHeight="5472" xr2:uid="{1F467799-2EB1-4D23-9D7B-629090E655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0" i="1" l="1"/>
  <c r="J31" i="1"/>
  <c r="J32" i="1"/>
  <c r="J33" i="1"/>
  <c r="J34" i="1"/>
  <c r="J29" i="1"/>
  <c r="I30" i="1"/>
  <c r="I31" i="1"/>
  <c r="I32" i="1"/>
  <c r="I33" i="1"/>
  <c r="I34" i="1"/>
  <c r="I29" i="1"/>
  <c r="S12" i="1" l="1"/>
  <c r="P11" i="1"/>
  <c r="P10" i="1"/>
  <c r="P12" i="1"/>
  <c r="I10" i="1"/>
  <c r="I16" i="1" s="1"/>
  <c r="I19" i="1"/>
  <c r="I11" i="1"/>
  <c r="L11" i="1" l="1"/>
</calcChain>
</file>

<file path=xl/sharedStrings.xml><?xml version="1.0" encoding="utf-8"?>
<sst xmlns="http://schemas.openxmlformats.org/spreadsheetml/2006/main" count="25" uniqueCount="25">
  <si>
    <t>x</t>
    <phoneticPr fontId="1" type="noConversion"/>
  </si>
  <si>
    <t>y</t>
    <phoneticPr fontId="1" type="noConversion"/>
  </si>
  <si>
    <t>vc 실험값</t>
    <phoneticPr fontId="1" type="noConversion"/>
  </si>
  <si>
    <t>vc 이론값</t>
    <phoneticPr fontId="1" type="noConversion"/>
  </si>
  <si>
    <t>h0와 R</t>
    <phoneticPr fontId="1" type="noConversion"/>
  </si>
  <si>
    <t>델타E</t>
    <phoneticPr fontId="1" type="noConversion"/>
  </si>
  <si>
    <t>vc 오차율</t>
    <phoneticPr fontId="1" type="noConversion"/>
  </si>
  <si>
    <t>vc실험값</t>
    <phoneticPr fontId="1" type="noConversion"/>
  </si>
  <si>
    <t>xf</t>
    <phoneticPr fontId="1" type="noConversion"/>
  </si>
  <si>
    <t>y0</t>
    <phoneticPr fontId="1" type="noConversion"/>
  </si>
  <si>
    <t>vb실험값</t>
    <phoneticPr fontId="1" type="noConversion"/>
  </si>
  <si>
    <t>vb이론값</t>
    <phoneticPr fontId="1" type="noConversion"/>
  </si>
  <si>
    <t>vb오차율</t>
    <phoneticPr fontId="1" type="noConversion"/>
  </si>
  <si>
    <t>거리</t>
    <phoneticPr fontId="1" type="noConversion"/>
  </si>
  <si>
    <t>이동거리</t>
    <phoneticPr fontId="1" type="noConversion"/>
  </si>
  <si>
    <t>운동에너지</t>
    <phoneticPr fontId="1" type="noConversion"/>
  </si>
  <si>
    <t>x1(cm)</t>
    <phoneticPr fontId="1" type="noConversion"/>
  </si>
  <si>
    <t>y1(cm)</t>
    <phoneticPr fontId="1" type="noConversion"/>
  </si>
  <si>
    <t>x2(cm)</t>
    <phoneticPr fontId="1" type="noConversion"/>
  </si>
  <si>
    <t>x3(cm)</t>
    <phoneticPr fontId="1" type="noConversion"/>
  </si>
  <si>
    <t>x4(cm)</t>
    <phoneticPr fontId="1" type="noConversion"/>
  </si>
  <si>
    <t>xavg(cm)</t>
    <phoneticPr fontId="1" type="noConversion"/>
  </si>
  <si>
    <t>mgxsin  (J)</t>
    <phoneticPr fontId="1" type="noConversion"/>
  </si>
  <si>
    <t>No.</t>
    <phoneticPr fontId="1" type="noConversion"/>
  </si>
  <si>
    <t>m(g)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</si>
</sst>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6FD4C-8088-4F57-9918-EF6CE26FD0A8}">
  <dimension ref="C4:S34"/>
  <sheetViews>
    <sheetView tabSelected="1" topLeftCell="B22" workbookViewId="0">
      <selection activeCell="J39" sqref="J39"/>
    </sheetView>
  </sheetViews>
  <sheetFormatPr defaultRowHeight="17.399999999999999" x14ac:dyDescent="0.4"/>
  <cols>
    <col min="9" max="9" width="10.09765625" bestFit="1" customWidth="1"/>
    <col min="10" max="10" width="11.19921875" customWidth="1"/>
  </cols>
  <sheetData>
    <row r="4" spans="7:19" x14ac:dyDescent="0.4">
      <c r="G4">
        <v>1</v>
      </c>
      <c r="N4">
        <v>2</v>
      </c>
    </row>
    <row r="6" spans="7:19" x14ac:dyDescent="0.4">
      <c r="H6" t="s">
        <v>0</v>
      </c>
      <c r="I6">
        <v>109.51</v>
      </c>
      <c r="O6" t="s">
        <v>8</v>
      </c>
      <c r="P6">
        <v>88.114999999999995</v>
      </c>
    </row>
    <row r="7" spans="7:19" x14ac:dyDescent="0.4">
      <c r="H7" t="s">
        <v>1</v>
      </c>
      <c r="I7">
        <v>89.7</v>
      </c>
      <c r="O7" t="s">
        <v>9</v>
      </c>
      <c r="P7">
        <v>95.6</v>
      </c>
    </row>
    <row r="10" spans="7:19" x14ac:dyDescent="0.4">
      <c r="H10" t="s">
        <v>2</v>
      </c>
      <c r="I10">
        <f>SQRT( (9.8*1.09^2) / (2*(0.897+1.09*TAN(RADIANS(0)))*COS(RADIANS(0))^2) )</f>
        <v>2.5475828489672883</v>
      </c>
      <c r="O10" t="s">
        <v>7</v>
      </c>
      <c r="P10">
        <f>SQRT( (9.8*0.881^2) / (2*(0.956+0.881*TAN(RADIANS(7.69)))*COS(RADIANS(7.69))^2) )</f>
        <v>1.8980227063905386</v>
      </c>
    </row>
    <row r="11" spans="7:19" x14ac:dyDescent="0.4">
      <c r="H11" t="s">
        <v>3</v>
      </c>
      <c r="I11">
        <f xml:space="preserve"> SQRT( 10 / 7 * 9.8 * 0.698)</f>
        <v>3.1260198335903118</v>
      </c>
      <c r="K11" t="s">
        <v>6</v>
      </c>
      <c r="L11">
        <f>(I11-I10)/I11*100</f>
        <v>18.50394480570759</v>
      </c>
      <c r="O11" t="s">
        <v>10</v>
      </c>
      <c r="P11">
        <f xml:space="preserve"> SQRT( P10^2 + 10/7*9.8*0.059)</f>
        <v>2.1043978221748056</v>
      </c>
    </row>
    <row r="12" spans="7:19" x14ac:dyDescent="0.4">
      <c r="O12" t="s">
        <v>11</v>
      </c>
      <c r="P12">
        <f>SQRT( 27/7*9.8*0.155)</f>
        <v>2.4205371304733174</v>
      </c>
      <c r="R12" t="s">
        <v>12</v>
      </c>
      <c r="S12">
        <f>(P12-P11)/P12*100</f>
        <v>13.06070889466972</v>
      </c>
    </row>
    <row r="16" spans="7:19" x14ac:dyDescent="0.4">
      <c r="H16" t="s">
        <v>5</v>
      </c>
      <c r="I16">
        <f>1/2 * 0.0166 * (I11^2-I10^2)</f>
        <v>2.7239119509476033E-2</v>
      </c>
    </row>
    <row r="19" spans="3:10" x14ac:dyDescent="0.4">
      <c r="H19" t="s">
        <v>4</v>
      </c>
      <c r="I19">
        <f>67.1/15.5</f>
        <v>4.3290322580645162</v>
      </c>
    </row>
    <row r="25" spans="3:10" x14ac:dyDescent="0.4">
      <c r="C25" t="s">
        <v>24</v>
      </c>
      <c r="D25">
        <v>235.3</v>
      </c>
    </row>
    <row r="27" spans="3:10" x14ac:dyDescent="0.4">
      <c r="C27" s="2" t="s">
        <v>23</v>
      </c>
      <c r="D27" s="1" t="s">
        <v>13</v>
      </c>
      <c r="E27" s="2" t="s">
        <v>14</v>
      </c>
      <c r="F27" s="2"/>
      <c r="G27" s="2"/>
      <c r="H27" s="2"/>
      <c r="I27" s="2"/>
      <c r="J27" s="1" t="s">
        <v>15</v>
      </c>
    </row>
    <row r="28" spans="3:10" x14ac:dyDescent="0.4">
      <c r="C28" s="2"/>
      <c r="D28" s="1" t="s">
        <v>17</v>
      </c>
      <c r="E28" s="1" t="s">
        <v>16</v>
      </c>
      <c r="F28" s="1" t="s">
        <v>18</v>
      </c>
      <c r="G28" s="1" t="s">
        <v>19</v>
      </c>
      <c r="H28" s="1" t="s">
        <v>20</v>
      </c>
      <c r="I28" s="1" t="s">
        <v>21</v>
      </c>
      <c r="J28" s="1" t="s">
        <v>22</v>
      </c>
    </row>
    <row r="29" spans="3:10" x14ac:dyDescent="0.4">
      <c r="C29" s="1">
        <v>1</v>
      </c>
      <c r="D29" s="1">
        <v>12</v>
      </c>
      <c r="E29" s="1">
        <v>32</v>
      </c>
      <c r="F29" s="1">
        <v>38</v>
      </c>
      <c r="G29" s="1">
        <v>38</v>
      </c>
      <c r="H29" s="1">
        <v>39</v>
      </c>
      <c r="I29" s="1">
        <f>AVERAGE(E29:H29)</f>
        <v>36.75</v>
      </c>
      <c r="J29" s="3">
        <f>0.235*9.8*I29*SIN(RADIANS(2.58))</f>
        <v>3.8097947449870864</v>
      </c>
    </row>
    <row r="30" spans="3:10" x14ac:dyDescent="0.4">
      <c r="C30" s="1">
        <v>2</v>
      </c>
      <c r="D30" s="1">
        <v>17</v>
      </c>
      <c r="E30" s="1">
        <v>47</v>
      </c>
      <c r="F30" s="1">
        <v>46</v>
      </c>
      <c r="G30" s="1">
        <v>47.5</v>
      </c>
      <c r="H30" s="1">
        <v>48</v>
      </c>
      <c r="I30" s="1">
        <f t="shared" ref="I30:I34" si="0">AVERAGE(E30:H30)</f>
        <v>47.125</v>
      </c>
      <c r="J30" s="3">
        <f t="shared" ref="J30:J34" si="1">0.235*9.8*I30*SIN(RADIANS(2.58))</f>
        <v>4.885349043741944</v>
      </c>
    </row>
    <row r="31" spans="3:10" x14ac:dyDescent="0.4">
      <c r="C31" s="1">
        <v>3</v>
      </c>
      <c r="D31" s="1">
        <v>22</v>
      </c>
      <c r="E31" s="1">
        <v>41</v>
      </c>
      <c r="F31" s="1">
        <v>42</v>
      </c>
      <c r="G31" s="1">
        <v>47</v>
      </c>
      <c r="H31" s="1">
        <v>51</v>
      </c>
      <c r="I31" s="1">
        <f t="shared" si="0"/>
        <v>45.25</v>
      </c>
      <c r="J31" s="3">
        <f t="shared" si="1"/>
        <v>4.6909717608344392</v>
      </c>
    </row>
    <row r="32" spans="3:10" x14ac:dyDescent="0.4">
      <c r="C32" s="1">
        <v>4</v>
      </c>
      <c r="D32" s="1">
        <v>27</v>
      </c>
      <c r="E32" s="1">
        <v>40</v>
      </c>
      <c r="F32" s="1">
        <v>35</v>
      </c>
      <c r="G32" s="1">
        <v>35</v>
      </c>
      <c r="H32" s="1">
        <v>42</v>
      </c>
      <c r="I32" s="1">
        <f t="shared" si="0"/>
        <v>38</v>
      </c>
      <c r="J32" s="3">
        <f t="shared" si="1"/>
        <v>3.9393796002587558</v>
      </c>
    </row>
    <row r="33" spans="3:10" x14ac:dyDescent="0.4">
      <c r="C33" s="1">
        <v>5</v>
      </c>
      <c r="D33" s="1">
        <v>32</v>
      </c>
      <c r="E33" s="1">
        <v>33</v>
      </c>
      <c r="F33" s="1">
        <v>37</v>
      </c>
      <c r="G33" s="1">
        <v>40</v>
      </c>
      <c r="H33" s="1">
        <v>33</v>
      </c>
      <c r="I33" s="1">
        <f t="shared" si="0"/>
        <v>35.75</v>
      </c>
      <c r="J33" s="3">
        <f t="shared" si="1"/>
        <v>3.7061268607697508</v>
      </c>
    </row>
    <row r="34" spans="3:10" x14ac:dyDescent="0.4">
      <c r="C34" s="1">
        <v>6</v>
      </c>
      <c r="D34" s="1">
        <v>37</v>
      </c>
      <c r="E34" s="1">
        <v>23</v>
      </c>
      <c r="F34" s="1">
        <v>27</v>
      </c>
      <c r="G34" s="1">
        <v>31</v>
      </c>
      <c r="H34" s="1">
        <v>28</v>
      </c>
      <c r="I34" s="1">
        <f t="shared" si="0"/>
        <v>27.25</v>
      </c>
      <c r="J34" s="3">
        <f t="shared" si="1"/>
        <v>2.8249498449223971</v>
      </c>
    </row>
  </sheetData>
  <mergeCells count="2">
    <mergeCell ref="E27:I27"/>
    <mergeCell ref="C27:C2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2022-05-09T16:06:25Z</dcterms:created>
  <dcterms:modified xsi:type="dcterms:W3CDTF">2022-05-09T21:16:09Z</dcterms:modified>
</cp:coreProperties>
</file>