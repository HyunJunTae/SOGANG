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바탕 화면\"/>
    </mc:Choice>
  </mc:AlternateContent>
  <xr:revisionPtr revIDLastSave="4" documentId="6_{96613B74-C918-463F-9BFF-D3CF5A7DDCD3}" xr6:coauthVersionLast="36" xr6:coauthVersionMax="36" xr10:uidLastSave="{AB0F8025-FD43-405B-A68D-F7D88A31D34B}"/>
  <bookViews>
    <workbookView xWindow="0" yWindow="0" windowWidth="23040" windowHeight="8856" xr2:uid="{3844F3A2-415C-4455-A99C-8E797A2E23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G14" i="1" l="1"/>
  <c r="BF14" i="1"/>
  <c r="BG12" i="1"/>
  <c r="BG13" i="1"/>
  <c r="BG11" i="1"/>
  <c r="BF12" i="1"/>
  <c r="BF13" i="1"/>
  <c r="BE12" i="1"/>
  <c r="BE13" i="1"/>
  <c r="BE14" i="1"/>
  <c r="BE11" i="1"/>
  <c r="BD12" i="1"/>
  <c r="BD13" i="1"/>
  <c r="BD14" i="1"/>
  <c r="BD11" i="1"/>
  <c r="BC12" i="1"/>
  <c r="BC13" i="1"/>
  <c r="BC14" i="1"/>
  <c r="BC11" i="1"/>
  <c r="AF11" i="1"/>
  <c r="AQ11" i="1"/>
  <c r="AQ12" i="1"/>
  <c r="AQ10" i="1"/>
  <c r="AH15" i="1"/>
  <c r="AP11" i="1"/>
  <c r="AP12" i="1"/>
  <c r="AP10" i="1"/>
  <c r="AG11" i="1"/>
  <c r="AH10" i="1" s="1"/>
  <c r="AG12" i="1"/>
  <c r="AG10" i="1"/>
  <c r="AF12" i="1" l="1"/>
  <c r="AF10" i="1"/>
  <c r="AE11" i="1"/>
  <c r="AE12" i="1"/>
  <c r="AE10" i="1"/>
  <c r="X12" i="1"/>
  <c r="W12" i="1"/>
  <c r="X11" i="1"/>
  <c r="W11" i="1"/>
  <c r="T12" i="1"/>
  <c r="T11" i="1"/>
  <c r="S12" i="1"/>
  <c r="S11" i="1"/>
  <c r="F10" i="1"/>
  <c r="G10" i="1" s="1"/>
  <c r="F11" i="1"/>
  <c r="G11" i="1" s="1"/>
  <c r="F12" i="1"/>
  <c r="F16" i="1"/>
  <c r="F18" i="1"/>
  <c r="G18" i="1" s="1"/>
  <c r="F17" i="1"/>
  <c r="G17" i="1" s="1"/>
  <c r="N18" i="1"/>
  <c r="O18" i="1" s="1"/>
  <c r="N17" i="1"/>
  <c r="O17" i="1" s="1"/>
  <c r="N12" i="1"/>
  <c r="O12" i="1" s="1"/>
  <c r="N11" i="1"/>
  <c r="O11" i="1" s="1"/>
  <c r="E18" i="1"/>
  <c r="E17" i="1"/>
  <c r="E16" i="1"/>
  <c r="G16" i="1" s="1"/>
  <c r="E12" i="1"/>
  <c r="G12" i="1" s="1"/>
  <c r="E11" i="1"/>
  <c r="E10" i="1"/>
  <c r="H16" i="1" l="1"/>
  <c r="H10" i="1"/>
</calcChain>
</file>

<file path=xl/sharedStrings.xml><?xml version="1.0" encoding="utf-8"?>
<sst xmlns="http://schemas.openxmlformats.org/spreadsheetml/2006/main" count="87" uniqueCount="51">
  <si>
    <t>실험 1</t>
    <phoneticPr fontId="1" type="noConversion"/>
  </si>
  <si>
    <t>용수철1</t>
    <phoneticPr fontId="1" type="noConversion"/>
  </si>
  <si>
    <t>용수철 1</t>
    <phoneticPr fontId="1" type="noConversion"/>
  </si>
  <si>
    <t>힘</t>
    <phoneticPr fontId="1" type="noConversion"/>
  </si>
  <si>
    <t>평형위치</t>
    <phoneticPr fontId="1" type="noConversion"/>
  </si>
  <si>
    <t>용수철상수</t>
    <phoneticPr fontId="1" type="noConversion"/>
  </si>
  <si>
    <t>용수철상수 평균</t>
    <phoneticPr fontId="1" type="noConversion"/>
  </si>
  <si>
    <t>용수철 2</t>
    <phoneticPr fontId="1" type="noConversion"/>
  </si>
  <si>
    <t>주기 측정</t>
    <phoneticPr fontId="1" type="noConversion"/>
  </si>
  <si>
    <t>용수철 상수 측정</t>
    <phoneticPr fontId="1" type="noConversion"/>
  </si>
  <si>
    <t>5회 왕복하는 데 걸린 시간</t>
    <phoneticPr fontId="1" type="noConversion"/>
  </si>
  <si>
    <t>1회</t>
    <phoneticPr fontId="1" type="noConversion"/>
  </si>
  <si>
    <t>2회</t>
    <phoneticPr fontId="1" type="noConversion"/>
  </si>
  <si>
    <t>3회</t>
  </si>
  <si>
    <t>글라이더</t>
    <phoneticPr fontId="1" type="noConversion"/>
  </si>
  <si>
    <t>글라이더 + 100g</t>
    <phoneticPr fontId="1" type="noConversion"/>
  </si>
  <si>
    <t>평균</t>
    <phoneticPr fontId="1" type="noConversion"/>
  </si>
  <si>
    <t>진동주기</t>
    <phoneticPr fontId="1" type="noConversion"/>
  </si>
  <si>
    <t>용수철2</t>
    <phoneticPr fontId="1" type="noConversion"/>
  </si>
  <si>
    <t>가해진 추의 질량(g)</t>
    <phoneticPr fontId="1" type="noConversion"/>
  </si>
  <si>
    <t>글라이더+100g</t>
    <phoneticPr fontId="1" type="noConversion"/>
  </si>
  <si>
    <t>진동주기(이론값)</t>
    <phoneticPr fontId="1" type="noConversion"/>
  </si>
  <si>
    <t>진동주기(실험값)</t>
    <phoneticPr fontId="1" type="noConversion"/>
  </si>
  <si>
    <t>변형거리(cm)</t>
    <phoneticPr fontId="1" type="noConversion"/>
  </si>
  <si>
    <t>위치(cm)</t>
    <phoneticPr fontId="1" type="noConversion"/>
  </si>
  <si>
    <t>오차율</t>
    <phoneticPr fontId="1" type="noConversion"/>
  </si>
  <si>
    <t>실험2</t>
    <phoneticPr fontId="1" type="noConversion"/>
  </si>
  <si>
    <t>경사각</t>
    <phoneticPr fontId="1" type="noConversion"/>
  </si>
  <si>
    <r>
      <rPr>
        <sz val="11"/>
        <color theme="1"/>
        <rFont val="Calibri"/>
        <family val="2"/>
        <charset val="161"/>
      </rPr>
      <t>θ</t>
    </r>
    <r>
      <rPr>
        <sz val="11"/>
        <color theme="1"/>
        <rFont val="맑은 고딕"/>
        <family val="2"/>
        <charset val="129"/>
        <scheme val="minor"/>
      </rPr>
      <t>1</t>
    </r>
    <phoneticPr fontId="1" type="noConversion"/>
  </si>
  <si>
    <r>
      <rPr>
        <sz val="11"/>
        <color theme="1"/>
        <rFont val="Calibri"/>
        <family val="2"/>
        <charset val="161"/>
      </rPr>
      <t>θ</t>
    </r>
    <r>
      <rPr>
        <sz val="11"/>
        <color theme="1"/>
        <rFont val="맑은 고딕"/>
        <family val="2"/>
        <charset val="129"/>
        <scheme val="minor"/>
      </rPr>
      <t>2</t>
    </r>
    <phoneticPr fontId="1" type="noConversion"/>
  </si>
  <si>
    <r>
      <rPr>
        <sz val="11"/>
        <color theme="1"/>
        <rFont val="Calibri"/>
        <family val="2"/>
        <charset val="161"/>
      </rPr>
      <t>θ</t>
    </r>
    <r>
      <rPr>
        <sz val="11"/>
        <color theme="1"/>
        <rFont val="맑은 고딕"/>
        <family val="2"/>
        <charset val="129"/>
        <scheme val="minor"/>
      </rPr>
      <t>3</t>
    </r>
    <phoneticPr fontId="1" type="noConversion"/>
  </si>
  <si>
    <r>
      <t>힘(Fgsin</t>
    </r>
    <r>
      <rPr>
        <sz val="11"/>
        <color theme="1"/>
        <rFont val="Calibri"/>
        <family val="2"/>
        <charset val="161"/>
      </rPr>
      <t>θ</t>
    </r>
    <r>
      <rPr>
        <sz val="11"/>
        <color theme="1"/>
        <rFont val="맑은 고딕"/>
        <family val="2"/>
        <charset val="129"/>
        <scheme val="minor"/>
      </rPr>
      <t>)</t>
    </r>
    <phoneticPr fontId="1" type="noConversion"/>
  </si>
  <si>
    <r>
      <rPr>
        <sz val="11"/>
        <color theme="1"/>
        <rFont val="맑은 고딕"/>
        <family val="2"/>
        <charset val="129"/>
      </rPr>
      <t>θ</t>
    </r>
    <r>
      <rPr>
        <sz val="11"/>
        <color theme="1"/>
        <rFont val="맑은 고딕"/>
        <family val="2"/>
        <charset val="129"/>
        <scheme val="minor"/>
      </rPr>
      <t>1</t>
    </r>
    <phoneticPr fontId="1" type="noConversion"/>
  </si>
  <si>
    <r>
      <t>경사각(</t>
    </r>
    <r>
      <rPr>
        <sz val="11"/>
        <color theme="1"/>
        <rFont val="Calibri"/>
        <family val="2"/>
        <charset val="161"/>
      </rPr>
      <t>θ)</t>
    </r>
    <phoneticPr fontId="1" type="noConversion"/>
  </si>
  <si>
    <t>5회 왕복하는 데 걸린 시간</t>
    <phoneticPr fontId="1" type="noConversion"/>
  </si>
  <si>
    <t>1회</t>
    <phoneticPr fontId="1" type="noConversion"/>
  </si>
  <si>
    <t>2회</t>
    <phoneticPr fontId="1" type="noConversion"/>
  </si>
  <si>
    <t>3회</t>
    <phoneticPr fontId="1" type="noConversion"/>
  </si>
  <si>
    <t>평균</t>
    <phoneticPr fontId="1" type="noConversion"/>
  </si>
  <si>
    <t>진동주기(T)</t>
    <phoneticPr fontId="1" type="noConversion"/>
  </si>
  <si>
    <t>진동주기(이론)</t>
    <phoneticPr fontId="1" type="noConversion"/>
  </si>
  <si>
    <t>실험 3</t>
    <phoneticPr fontId="1" type="noConversion"/>
  </si>
  <si>
    <t>용수철</t>
    <phoneticPr fontId="1" type="noConversion"/>
  </si>
  <si>
    <t>한 개</t>
    <phoneticPr fontId="1" type="noConversion"/>
  </si>
  <si>
    <t>직렬</t>
    <phoneticPr fontId="1" type="noConversion"/>
  </si>
  <si>
    <t>병렬</t>
    <phoneticPr fontId="1" type="noConversion"/>
  </si>
  <si>
    <t>양쪽</t>
    <phoneticPr fontId="1" type="noConversion"/>
  </si>
  <si>
    <t>주기</t>
    <phoneticPr fontId="1" type="noConversion"/>
  </si>
  <si>
    <t>k(이론)</t>
    <phoneticPr fontId="1" type="noConversion"/>
  </si>
  <si>
    <t>k(실험)</t>
    <phoneticPr fontId="1" type="noConversion"/>
  </si>
  <si>
    <t>오차율(%)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</si>
</sst>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90" formatCode="0.000"/>
  </numFmts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Calibri"/>
      <family val="2"/>
      <charset val="161"/>
    </font>
    <font>
      <sz val="11"/>
      <color theme="1"/>
      <name val="맑은 고딕"/>
      <family val="2"/>
      <charset val="161"/>
      <scheme val="minor"/>
    </font>
    <font>
      <sz val="11"/>
      <color theme="1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2" fontId="0" fillId="0" borderId="0" xfId="0" applyNumberFormat="1">
      <alignment vertical="center"/>
    </xf>
    <xf numFmtId="2" fontId="0" fillId="0" borderId="0" xfId="0" applyNumberFormat="1" applyAlignment="1">
      <alignment vertical="center"/>
    </xf>
    <xf numFmtId="0" fontId="3" fillId="0" borderId="0" xfId="0" applyFont="1">
      <alignment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90" fontId="0" fillId="0" borderId="0" xfId="0" applyNumberFormat="1">
      <alignment vertical="center"/>
    </xf>
    <xf numFmtId="0" fontId="0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E1F54-F27D-46DE-BFB0-77BFFE8E47DB}">
  <dimension ref="A3:BG21"/>
  <sheetViews>
    <sheetView tabSelected="1" topLeftCell="AP4" workbookViewId="0">
      <selection activeCell="AZ17" sqref="AZ17"/>
    </sheetView>
  </sheetViews>
  <sheetFormatPr defaultRowHeight="17.399999999999999" x14ac:dyDescent="0.4"/>
  <cols>
    <col min="1" max="1" width="15.69921875" bestFit="1" customWidth="1"/>
    <col min="2" max="2" width="8.3984375" bestFit="1" customWidth="1"/>
    <col min="3" max="3" width="17.8984375" bestFit="1" customWidth="1"/>
    <col min="5" max="5" width="12.296875" bestFit="1" customWidth="1"/>
    <col min="7" max="7" width="10.3984375" bestFit="1" customWidth="1"/>
    <col min="8" max="8" width="15" bestFit="1" customWidth="1"/>
    <col min="10" max="10" width="8.3984375" bestFit="1" customWidth="1"/>
    <col min="11" max="11" width="8.19921875" customWidth="1"/>
    <col min="15" max="15" width="12.59765625" bestFit="1" customWidth="1"/>
    <col min="16" max="16" width="15" bestFit="1" customWidth="1"/>
    <col min="29" max="29" width="17.8984375" bestFit="1" customWidth="1"/>
    <col min="30" max="30" width="8.5" bestFit="1" customWidth="1"/>
    <col min="31" max="31" width="12.296875" bestFit="1" customWidth="1"/>
    <col min="32" max="32" width="9.3984375" bestFit="1" customWidth="1"/>
    <col min="33" max="33" width="10.3984375" bestFit="1" customWidth="1"/>
    <col min="34" max="34" width="15" bestFit="1" customWidth="1"/>
    <col min="43" max="43" width="10.69921875" bestFit="1" customWidth="1"/>
  </cols>
  <sheetData>
    <row r="3" spans="1:59" x14ac:dyDescent="0.4">
      <c r="O3" s="1"/>
    </row>
    <row r="4" spans="1:59" x14ac:dyDescent="0.4">
      <c r="A4" t="s">
        <v>0</v>
      </c>
    </row>
    <row r="5" spans="1:59" x14ac:dyDescent="0.4">
      <c r="AC5" t="s">
        <v>26</v>
      </c>
      <c r="AI5" t="s">
        <v>27</v>
      </c>
      <c r="AJ5" s="9" t="s">
        <v>32</v>
      </c>
      <c r="AK5">
        <v>4.07</v>
      </c>
    </row>
    <row r="6" spans="1:59" x14ac:dyDescent="0.4">
      <c r="A6" t="s">
        <v>9</v>
      </c>
      <c r="J6" t="s">
        <v>8</v>
      </c>
      <c r="AJ6" s="4" t="s">
        <v>29</v>
      </c>
      <c r="AK6">
        <v>5.59</v>
      </c>
      <c r="AY6" t="s">
        <v>41</v>
      </c>
    </row>
    <row r="7" spans="1:59" x14ac:dyDescent="0.4">
      <c r="AC7" t="s">
        <v>14</v>
      </c>
      <c r="AD7">
        <v>199.5</v>
      </c>
      <c r="AF7" t="s">
        <v>4</v>
      </c>
      <c r="AG7">
        <v>28.2</v>
      </c>
      <c r="AJ7" s="4" t="s">
        <v>30</v>
      </c>
      <c r="AK7">
        <v>7.1</v>
      </c>
    </row>
    <row r="8" spans="1:59" x14ac:dyDescent="0.4">
      <c r="B8" s="1" t="s">
        <v>2</v>
      </c>
      <c r="C8" s="1" t="s">
        <v>4</v>
      </c>
      <c r="D8" s="1">
        <v>23.6</v>
      </c>
      <c r="E8" s="1"/>
      <c r="F8" s="1"/>
      <c r="G8" s="1"/>
      <c r="H8" s="1"/>
      <c r="I8" s="1"/>
      <c r="J8" t="s">
        <v>1</v>
      </c>
      <c r="P8" s="1"/>
      <c r="AL8" s="7" t="s">
        <v>33</v>
      </c>
      <c r="AM8" s="7" t="s">
        <v>34</v>
      </c>
      <c r="AN8" s="7"/>
      <c r="AO8" s="7"/>
      <c r="AP8" s="7"/>
      <c r="AQ8" s="7" t="s">
        <v>39</v>
      </c>
    </row>
    <row r="9" spans="1:59" x14ac:dyDescent="0.4">
      <c r="B9" s="1"/>
      <c r="C9" s="1" t="s">
        <v>19</v>
      </c>
      <c r="D9" s="1" t="s">
        <v>24</v>
      </c>
      <c r="E9" s="1" t="s">
        <v>23</v>
      </c>
      <c r="F9" s="1" t="s">
        <v>3</v>
      </c>
      <c r="G9" s="1" t="s">
        <v>5</v>
      </c>
      <c r="H9" s="1" t="s">
        <v>6</v>
      </c>
      <c r="I9" s="1"/>
      <c r="K9" s="7" t="s">
        <v>10</v>
      </c>
      <c r="L9" s="7"/>
      <c r="M9" s="7"/>
      <c r="N9" s="7"/>
      <c r="O9" s="7" t="s">
        <v>17</v>
      </c>
      <c r="P9" s="1"/>
      <c r="S9" s="7" t="s">
        <v>21</v>
      </c>
      <c r="T9" s="7"/>
      <c r="U9" s="7" t="s">
        <v>22</v>
      </c>
      <c r="V9" s="7"/>
      <c r="W9" s="7" t="s">
        <v>25</v>
      </c>
      <c r="X9" s="7"/>
      <c r="AC9" s="1" t="s">
        <v>19</v>
      </c>
      <c r="AD9" s="1" t="s">
        <v>24</v>
      </c>
      <c r="AE9" s="1" t="s">
        <v>23</v>
      </c>
      <c r="AF9" s="1" t="s">
        <v>31</v>
      </c>
      <c r="AG9" s="1" t="s">
        <v>5</v>
      </c>
      <c r="AH9" s="1" t="s">
        <v>6</v>
      </c>
      <c r="AL9" s="7"/>
      <c r="AM9" t="s">
        <v>35</v>
      </c>
      <c r="AN9" t="s">
        <v>36</v>
      </c>
      <c r="AO9" t="s">
        <v>37</v>
      </c>
      <c r="AP9" t="s">
        <v>38</v>
      </c>
      <c r="AQ9" s="7"/>
      <c r="AY9" s="7" t="s">
        <v>42</v>
      </c>
      <c r="AZ9" s="7" t="s">
        <v>34</v>
      </c>
      <c r="BA9" s="7"/>
      <c r="BB9" s="7"/>
      <c r="BC9" s="7"/>
      <c r="BD9" s="7" t="s">
        <v>47</v>
      </c>
      <c r="BE9" s="7" t="s">
        <v>49</v>
      </c>
      <c r="BF9" s="7" t="s">
        <v>48</v>
      </c>
      <c r="BG9" s="7" t="s">
        <v>50</v>
      </c>
    </row>
    <row r="10" spans="1:59" x14ac:dyDescent="0.4">
      <c r="B10" s="1"/>
      <c r="C10" s="1">
        <v>40</v>
      </c>
      <c r="D10" s="1">
        <v>33.6</v>
      </c>
      <c r="E10" s="1">
        <f>D10-23.6</f>
        <v>10</v>
      </c>
      <c r="F10" s="1">
        <f>C10*9.8/1000</f>
        <v>0.39200000000000002</v>
      </c>
      <c r="G10" s="5">
        <f>F10/E10*100</f>
        <v>3.92</v>
      </c>
      <c r="H10" s="6">
        <f>AVERAGE(G10:G12)</f>
        <v>4.0245710165825521</v>
      </c>
      <c r="I10" s="1"/>
      <c r="K10" t="s">
        <v>11</v>
      </c>
      <c r="L10" t="s">
        <v>12</v>
      </c>
      <c r="M10" t="s">
        <v>13</v>
      </c>
      <c r="N10" t="s">
        <v>16</v>
      </c>
      <c r="O10" s="7"/>
      <c r="P10" s="3"/>
      <c r="S10" t="s">
        <v>1</v>
      </c>
      <c r="T10" t="s">
        <v>18</v>
      </c>
      <c r="U10" t="s">
        <v>1</v>
      </c>
      <c r="V10" t="s">
        <v>18</v>
      </c>
      <c r="W10" t="s">
        <v>1</v>
      </c>
      <c r="X10" t="s">
        <v>18</v>
      </c>
      <c r="AC10">
        <v>40</v>
      </c>
      <c r="AD10">
        <v>36.799999999999997</v>
      </c>
      <c r="AE10">
        <f>AD10-28.2</f>
        <v>8.5999999999999979</v>
      </c>
      <c r="AF10" s="8">
        <f>ABS(AC10/1000*9.8*SIN(AK5))</f>
        <v>0.31386137861292052</v>
      </c>
      <c r="AG10" s="2">
        <f>AF10/(AE10/100)</f>
        <v>3.6495509141037279</v>
      </c>
      <c r="AH10" s="6">
        <f>AVERAGE(AG10:AG12)</f>
        <v>3.2822364693066626</v>
      </c>
      <c r="AL10" s="4" t="s">
        <v>28</v>
      </c>
      <c r="AM10">
        <v>7.68</v>
      </c>
      <c r="AN10">
        <v>7.56</v>
      </c>
      <c r="AO10">
        <v>7.49</v>
      </c>
      <c r="AP10" s="2">
        <f>AVERAGE(AM10:AO10)</f>
        <v>7.5766666666666653</v>
      </c>
      <c r="AQ10" s="2">
        <f>AP10/5</f>
        <v>1.515333333333333</v>
      </c>
      <c r="AY10" s="7"/>
      <c r="AZ10" t="s">
        <v>35</v>
      </c>
      <c r="BA10" t="s">
        <v>36</v>
      </c>
      <c r="BB10" t="s">
        <v>37</v>
      </c>
      <c r="BC10" t="s">
        <v>38</v>
      </c>
      <c r="BD10" s="7"/>
      <c r="BE10" s="7"/>
      <c r="BF10" s="7"/>
      <c r="BG10" s="7"/>
    </row>
    <row r="11" spans="1:59" x14ac:dyDescent="0.4">
      <c r="B11" s="1"/>
      <c r="C11" s="1">
        <v>60</v>
      </c>
      <c r="D11" s="1">
        <v>38.200000000000003</v>
      </c>
      <c r="E11" s="1">
        <f t="shared" ref="E11:E12" si="0">D11-23.6</f>
        <v>14.600000000000001</v>
      </c>
      <c r="F11" s="1">
        <f>C11*9.8/1000</f>
        <v>0.58799999999999997</v>
      </c>
      <c r="G11" s="5">
        <f>F11/E11*100</f>
        <v>4.0273972602739718</v>
      </c>
      <c r="H11" s="6"/>
      <c r="I11" s="1"/>
      <c r="J11" t="s">
        <v>14</v>
      </c>
      <c r="K11">
        <v>7.23</v>
      </c>
      <c r="L11">
        <v>7.29</v>
      </c>
      <c r="M11">
        <v>7.42</v>
      </c>
      <c r="N11" s="2">
        <f>AVERAGE(K11:M11)</f>
        <v>7.3133333333333326</v>
      </c>
      <c r="O11" s="2">
        <f>N11/5</f>
        <v>1.4626666666666666</v>
      </c>
      <c r="P11" s="3"/>
      <c r="R11" t="s">
        <v>14</v>
      </c>
      <c r="S11" s="2">
        <f>2*3.14*SQRT(0.2495/4.02)</f>
        <v>1.564522784202441</v>
      </c>
      <c r="T11" s="2">
        <f>2*3.14*SQRT(0.2495/4.97)</f>
        <v>1.4070733071700647</v>
      </c>
      <c r="U11">
        <v>1.46</v>
      </c>
      <c r="V11">
        <v>1.42</v>
      </c>
      <c r="W11" s="2">
        <f>ABS( (S11-U11) / S11 ) * 100</f>
        <v>6.6808093341845707</v>
      </c>
      <c r="X11" s="2">
        <f>ABS( (T11-V11) / T11 ) * 100</f>
        <v>0.91869362911401031</v>
      </c>
      <c r="AC11">
        <v>60</v>
      </c>
      <c r="AD11">
        <v>41.1</v>
      </c>
      <c r="AE11">
        <f t="shared" ref="AE11:AE12" si="1">AD11-28.2</f>
        <v>12.900000000000002</v>
      </c>
      <c r="AF11" s="8">
        <f>ABS(AC11/1000*9.8*SIN(AK6))</f>
        <v>0.37572647534499554</v>
      </c>
      <c r="AG11" s="2">
        <f t="shared" ref="AG11:AG12" si="2">AF11/(AE11/100)</f>
        <v>2.9126083360077168</v>
      </c>
      <c r="AH11" s="6"/>
      <c r="AL11" s="4" t="s">
        <v>29</v>
      </c>
      <c r="AM11">
        <v>7.35</v>
      </c>
      <c r="AN11">
        <v>6.96</v>
      </c>
      <c r="AO11">
        <v>7.11</v>
      </c>
      <c r="AP11">
        <f t="shared" ref="AP11:AP12" si="3">AVERAGE(AM11:AO11)</f>
        <v>7.14</v>
      </c>
      <c r="AQ11" s="2">
        <f t="shared" ref="AQ11:AQ12" si="4">AP11/5</f>
        <v>1.4279999999999999</v>
      </c>
      <c r="AY11" t="s">
        <v>43</v>
      </c>
      <c r="AZ11">
        <v>8.1300000000000008</v>
      </c>
      <c r="BA11">
        <v>8.2100000000000009</v>
      </c>
      <c r="BB11">
        <v>8.16</v>
      </c>
      <c r="BC11" s="2">
        <f>AVERAGE(AZ11:BB11)</f>
        <v>8.1666666666666679</v>
      </c>
      <c r="BD11" s="2">
        <f>BC11/5</f>
        <v>1.6333333333333335</v>
      </c>
      <c r="BE11" s="2">
        <f>(4*3.14^2*0.1995)/(BD11^2)</f>
        <v>2.9492564431486876</v>
      </c>
      <c r="BF11">
        <v>4.0199999999999996</v>
      </c>
      <c r="BG11" s="2">
        <f>ABS((BF11-BE11)/BF11) * 100</f>
        <v>26.635411861972933</v>
      </c>
    </row>
    <row r="12" spans="1:59" x14ac:dyDescent="0.4">
      <c r="B12" s="1"/>
      <c r="C12" s="1">
        <v>80</v>
      </c>
      <c r="D12" s="1">
        <v>42.6</v>
      </c>
      <c r="E12" s="1">
        <f t="shared" si="0"/>
        <v>19</v>
      </c>
      <c r="F12" s="1">
        <f>C12*9.8/1000</f>
        <v>0.78400000000000003</v>
      </c>
      <c r="G12" s="5">
        <f>F12/E12*100</f>
        <v>4.1263157894736846</v>
      </c>
      <c r="H12" s="6"/>
      <c r="I12" s="1"/>
      <c r="J12" t="s">
        <v>15</v>
      </c>
      <c r="K12">
        <v>8.81</v>
      </c>
      <c r="L12">
        <v>8.42</v>
      </c>
      <c r="M12">
        <v>8.7899999999999991</v>
      </c>
      <c r="N12" s="2">
        <f>AVERAGE(K12:M12)</f>
        <v>8.6733333333333338</v>
      </c>
      <c r="O12" s="2">
        <f>N12/5</f>
        <v>1.7346666666666668</v>
      </c>
      <c r="P12" s="3"/>
      <c r="R12" t="s">
        <v>20</v>
      </c>
      <c r="S12" s="2">
        <f>2*3.14*SQRT(0.3495/4.02)</f>
        <v>1.851698212089842</v>
      </c>
      <c r="T12" s="2">
        <f>2*3.14*SQRT(0.3495/4.97)</f>
        <v>1.6653481518291617</v>
      </c>
      <c r="U12">
        <v>1.73</v>
      </c>
      <c r="V12">
        <v>1.6</v>
      </c>
      <c r="W12" s="2">
        <f>ABS( (S12-U12) / S12 ) * 100</f>
        <v>6.5722487225654547</v>
      </c>
      <c r="X12" s="2">
        <f>ABS( (T12-V12) / T12 ) * 100</f>
        <v>3.9239934158743597</v>
      </c>
      <c r="AC12">
        <v>80</v>
      </c>
      <c r="AD12">
        <v>45.6</v>
      </c>
      <c r="AE12">
        <f t="shared" si="1"/>
        <v>17.400000000000002</v>
      </c>
      <c r="AF12" s="8">
        <f t="shared" ref="AF11:AF12" si="5">ABS(AC12/1000*9.8*SIN(AK7))</f>
        <v>0.57151172745868672</v>
      </c>
      <c r="AG12" s="2">
        <f t="shared" si="2"/>
        <v>3.2845501578085443</v>
      </c>
      <c r="AH12" s="6"/>
      <c r="AL12" s="4" t="s">
        <v>30</v>
      </c>
      <c r="AM12">
        <v>6.96</v>
      </c>
      <c r="AN12">
        <v>6.71</v>
      </c>
      <c r="AO12">
        <v>7.09</v>
      </c>
      <c r="AP12">
        <f t="shared" si="3"/>
        <v>6.919999999999999</v>
      </c>
      <c r="AQ12" s="2">
        <f t="shared" si="4"/>
        <v>1.3839999999999999</v>
      </c>
      <c r="AY12" t="s">
        <v>44</v>
      </c>
      <c r="AZ12">
        <v>12.42</v>
      </c>
      <c r="BA12">
        <v>12.92</v>
      </c>
      <c r="BB12">
        <v>12.3</v>
      </c>
      <c r="BC12" s="2">
        <f t="shared" ref="BC12:BC14" si="6">AVERAGE(AZ12:BB12)</f>
        <v>12.546666666666667</v>
      </c>
      <c r="BD12" s="2">
        <f t="shared" ref="BD12:BD14" si="7">BC12/5</f>
        <v>2.5093333333333332</v>
      </c>
      <c r="BE12" s="2">
        <f t="shared" ref="BE12:BE14" si="8">(4*3.14^2*0.1995)/(BD12^2)</f>
        <v>1.2495265144029066</v>
      </c>
      <c r="BF12" s="2">
        <f>1 / (1/4.02 + 1/4.97)</f>
        <v>2.2224026696329253</v>
      </c>
      <c r="BG12" s="2">
        <f t="shared" ref="BG12:BG14" si="9">ABS((BF12-BE12)/BF12) * 100</f>
        <v>43.775872326085214</v>
      </c>
    </row>
    <row r="13" spans="1:59" x14ac:dyDescent="0.4">
      <c r="AY13" t="s">
        <v>45</v>
      </c>
      <c r="AZ13">
        <v>5.12</v>
      </c>
      <c r="BA13">
        <v>5.52</v>
      </c>
      <c r="BB13">
        <v>5.39</v>
      </c>
      <c r="BC13" s="2">
        <f t="shared" si="6"/>
        <v>5.3433333333333337</v>
      </c>
      <c r="BD13" s="2">
        <f t="shared" si="7"/>
        <v>1.0686666666666667</v>
      </c>
      <c r="BE13" s="2">
        <f t="shared" si="8"/>
        <v>6.8893406740091603</v>
      </c>
      <c r="BF13">
        <f>4.02 + 4.97</f>
        <v>8.9899999999999984</v>
      </c>
      <c r="BG13" s="2">
        <f t="shared" si="9"/>
        <v>23.36662209111055</v>
      </c>
    </row>
    <row r="14" spans="1:59" x14ac:dyDescent="0.4">
      <c r="B14" s="1" t="s">
        <v>7</v>
      </c>
      <c r="C14" s="1" t="s">
        <v>4</v>
      </c>
      <c r="D14" s="1">
        <v>24</v>
      </c>
      <c r="E14" s="1"/>
      <c r="F14" s="1"/>
      <c r="G14" s="1"/>
      <c r="H14" s="1"/>
      <c r="J14" t="s">
        <v>18</v>
      </c>
      <c r="AH14" t="s">
        <v>40</v>
      </c>
      <c r="AY14" t="s">
        <v>46</v>
      </c>
      <c r="AZ14">
        <v>5.07</v>
      </c>
      <c r="BA14">
        <v>5.19</v>
      </c>
      <c r="BB14">
        <v>5.36</v>
      </c>
      <c r="BC14" s="2">
        <f t="shared" si="6"/>
        <v>5.206666666666667</v>
      </c>
      <c r="BD14" s="2">
        <f t="shared" si="7"/>
        <v>1.0413333333333334</v>
      </c>
      <c r="BE14" s="2">
        <f t="shared" si="8"/>
        <v>7.25575561388351</v>
      </c>
      <c r="BF14">
        <f>4.02 + 4.97</f>
        <v>8.9899999999999984</v>
      </c>
      <c r="BG14" s="2">
        <f t="shared" si="9"/>
        <v>19.290816308303548</v>
      </c>
    </row>
    <row r="15" spans="1:59" x14ac:dyDescent="0.4">
      <c r="B15" s="1"/>
      <c r="C15" s="1" t="s">
        <v>19</v>
      </c>
      <c r="D15" s="1" t="s">
        <v>24</v>
      </c>
      <c r="E15" s="1" t="s">
        <v>23</v>
      </c>
      <c r="F15" s="1" t="s">
        <v>3</v>
      </c>
      <c r="G15" s="1" t="s">
        <v>5</v>
      </c>
      <c r="H15" s="1" t="s">
        <v>6</v>
      </c>
      <c r="K15" s="7" t="s">
        <v>10</v>
      </c>
      <c r="L15" s="7"/>
      <c r="M15" s="7"/>
      <c r="N15" s="7"/>
      <c r="O15" s="7" t="s">
        <v>17</v>
      </c>
      <c r="AH15" s="2">
        <f>2*3.14*SQRT(0.1995/3.28)</f>
        <v>1.5487958343775872</v>
      </c>
    </row>
    <row r="16" spans="1:59" x14ac:dyDescent="0.4">
      <c r="B16" s="1"/>
      <c r="C16" s="1">
        <v>40</v>
      </c>
      <c r="D16" s="1">
        <v>31.8</v>
      </c>
      <c r="E16" s="1">
        <f>D16-23.6</f>
        <v>8.1999999999999993</v>
      </c>
      <c r="F16" s="1">
        <f>C16*9.8/1000</f>
        <v>0.39200000000000002</v>
      </c>
      <c r="G16" s="5">
        <f>F16/E16*100</f>
        <v>4.7804878048780495</v>
      </c>
      <c r="H16" s="6">
        <f>AVERAGE(G16:G18)</f>
        <v>4.9738111297259282</v>
      </c>
      <c r="K16" t="s">
        <v>11</v>
      </c>
      <c r="L16" t="s">
        <v>12</v>
      </c>
      <c r="M16" t="s">
        <v>13</v>
      </c>
      <c r="N16" t="s">
        <v>16</v>
      </c>
      <c r="O16" s="7"/>
    </row>
    <row r="17" spans="2:16" x14ac:dyDescent="0.4">
      <c r="B17" s="1"/>
      <c r="C17" s="1">
        <v>60</v>
      </c>
      <c r="D17" s="1">
        <v>35.4</v>
      </c>
      <c r="E17" s="1">
        <f t="shared" ref="E17:E18" si="10">D17-23.6</f>
        <v>11.799999999999997</v>
      </c>
      <c r="F17" s="1">
        <f>C17*9.8/1000</f>
        <v>0.58799999999999997</v>
      </c>
      <c r="G17" s="5">
        <f>F17/E17*100</f>
        <v>4.9830508474576281</v>
      </c>
      <c r="H17" s="6"/>
      <c r="J17" t="s">
        <v>14</v>
      </c>
      <c r="K17">
        <v>7.1</v>
      </c>
      <c r="L17">
        <v>7.04</v>
      </c>
      <c r="M17">
        <v>7.12</v>
      </c>
      <c r="N17" s="2">
        <f>AVERAGE(K17:M17)</f>
        <v>7.0866666666666669</v>
      </c>
      <c r="O17" s="2">
        <f>N17/5</f>
        <v>1.4173333333333333</v>
      </c>
    </row>
    <row r="18" spans="2:16" x14ac:dyDescent="0.4">
      <c r="B18" s="1"/>
      <c r="C18" s="1">
        <v>80</v>
      </c>
      <c r="D18" s="1">
        <v>38.799999999999997</v>
      </c>
      <c r="E18" s="1">
        <f t="shared" si="10"/>
        <v>15.199999999999996</v>
      </c>
      <c r="F18" s="1">
        <f>C18*9.8/1000</f>
        <v>0.78400000000000003</v>
      </c>
      <c r="G18" s="5">
        <f>F18/E18*100</f>
        <v>5.1578947368421071</v>
      </c>
      <c r="H18" s="6"/>
      <c r="J18" t="s">
        <v>15</v>
      </c>
      <c r="K18">
        <v>7.93</v>
      </c>
      <c r="L18">
        <v>7.9</v>
      </c>
      <c r="M18">
        <v>8.15</v>
      </c>
      <c r="N18" s="2">
        <f>AVERAGE(K18:M18)</f>
        <v>7.9933333333333332</v>
      </c>
      <c r="O18" s="2">
        <f>N18/5</f>
        <v>1.5986666666666667</v>
      </c>
    </row>
    <row r="21" spans="2:16" x14ac:dyDescent="0.4">
      <c r="P21" s="1"/>
    </row>
  </sheetData>
  <mergeCells count="19">
    <mergeCell ref="BG9:BG10"/>
    <mergeCell ref="AY9:AY10"/>
    <mergeCell ref="AZ9:BC9"/>
    <mergeCell ref="BD9:BD10"/>
    <mergeCell ref="BE9:BE10"/>
    <mergeCell ref="BF9:BF10"/>
    <mergeCell ref="AH10:AH12"/>
    <mergeCell ref="AL8:AL9"/>
    <mergeCell ref="AM8:AP8"/>
    <mergeCell ref="AQ8:AQ9"/>
    <mergeCell ref="H10:H12"/>
    <mergeCell ref="H16:H18"/>
    <mergeCell ref="W9:X9"/>
    <mergeCell ref="K9:N9"/>
    <mergeCell ref="O9:O10"/>
    <mergeCell ref="K15:N15"/>
    <mergeCell ref="O15:O16"/>
    <mergeCell ref="S9:T9"/>
    <mergeCell ref="U9:V9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2022-05-13T13:16:48Z</dcterms:created>
  <dcterms:modified xsi:type="dcterms:W3CDTF">2022-05-16T18:40:08Z</dcterms:modified>
</cp:coreProperties>
</file>