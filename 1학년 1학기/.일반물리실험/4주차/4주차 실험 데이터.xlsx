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4주차\"/>
    </mc:Choice>
  </mc:AlternateContent>
  <xr:revisionPtr revIDLastSave="0" documentId="13_ncr:1_{C556D748-1E16-4DF6-BFA3-1BEC13705DE4}" xr6:coauthVersionLast="36" xr6:coauthVersionMax="44" xr10:uidLastSave="{00000000-0000-0000-0000-000000000000}"/>
  <bookViews>
    <workbookView xWindow="0" yWindow="0" windowWidth="17256" windowHeight="5472" xr2:uid="{E00BD9C4-79F3-4589-A64F-78EFB8CA537D}"/>
  </bookViews>
  <sheets>
    <sheet name="4-1" sheetId="1" r:id="rId1"/>
    <sheet name="4-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6" i="1"/>
  <c r="H7" i="1"/>
  <c r="H4" i="1"/>
  <c r="G5" i="1" l="1"/>
  <c r="G6" i="1"/>
  <c r="G7" i="1"/>
  <c r="G4" i="1"/>
  <c r="F5" i="1"/>
  <c r="F6" i="1"/>
  <c r="F7" i="1"/>
  <c r="F4" i="1"/>
  <c r="E5" i="1"/>
  <c r="E6" i="1"/>
  <c r="E7" i="1"/>
  <c r="E4" i="1"/>
  <c r="D5" i="1"/>
  <c r="D6" i="1"/>
  <c r="D7" i="1"/>
  <c r="D4" i="1"/>
</calcChain>
</file>

<file path=xl/sharedStrings.xml><?xml version="1.0" encoding="utf-8"?>
<sst xmlns="http://schemas.openxmlformats.org/spreadsheetml/2006/main" count="17" uniqueCount="16">
  <si>
    <t>실험 4-1. 폭발에서 운동량 보존 데이터</t>
    <phoneticPr fontId="1" type="noConversion"/>
  </si>
  <si>
    <t>질량1(g)</t>
    <phoneticPr fontId="1" type="noConversion"/>
  </si>
  <si>
    <t>질량2(g)</t>
    <phoneticPr fontId="1" type="noConversion"/>
  </si>
  <si>
    <t>X1</t>
    <phoneticPr fontId="1" type="noConversion"/>
  </si>
  <si>
    <t>X2</t>
    <phoneticPr fontId="1" type="noConversion"/>
  </si>
  <si>
    <t>X1/X2</t>
    <phoneticPr fontId="1" type="noConversion"/>
  </si>
  <si>
    <t>m2/m1</t>
    <phoneticPr fontId="1" type="noConversion"/>
  </si>
  <si>
    <t>위치(시작 기준점, cm)</t>
    <phoneticPr fontId="1" type="noConversion"/>
  </si>
  <si>
    <t>실험 4-2. 충돌에서 운동량 보존 데이터는 실험 영상을 보시고 다이어그램을 그리시면 됩니다.</t>
    <phoneticPr fontId="1" type="noConversion"/>
  </si>
  <si>
    <t>아래는 4-2-(B)-경우1의 예시입니다.</t>
    <phoneticPr fontId="1" type="noConversion"/>
  </si>
  <si>
    <t>무게 추 없은 글라이더의 질량(g)</t>
    <phoneticPr fontId="1" type="noConversion"/>
  </si>
  <si>
    <t>(영상 왼쪽)</t>
    <phoneticPr fontId="1" type="noConversion"/>
  </si>
  <si>
    <t>(영상 오른쪽)</t>
    <phoneticPr fontId="1" type="noConversion"/>
  </si>
  <si>
    <t>이론값</t>
    <phoneticPr fontId="1" type="noConversion"/>
  </si>
  <si>
    <t>실험값</t>
    <phoneticPr fontId="1" type="noConversion"/>
  </si>
  <si>
    <t>오차율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</si>
</sst>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8</xdr:row>
      <xdr:rowOff>0</xdr:rowOff>
    </xdr:from>
    <xdr:to>
      <xdr:col>7</xdr:col>
      <xdr:colOff>621921</xdr:colOff>
      <xdr:row>19</xdr:row>
      <xdr:rowOff>66500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74E4A55-2C1C-470D-90D9-0D4CB0B5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676400"/>
          <a:ext cx="5889246" cy="23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638176</xdr:colOff>
      <xdr:row>6</xdr:row>
      <xdr:rowOff>142875</xdr:rowOff>
    </xdr:from>
    <xdr:to>
      <xdr:col>6</xdr:col>
      <xdr:colOff>1</xdr:colOff>
      <xdr:row>21</xdr:row>
      <xdr:rowOff>141487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B8F4B43-1734-4233-831A-52E5786D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1400175"/>
          <a:ext cx="4114800" cy="3141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53E1-5A5B-43FD-90C2-F63EF1292C85}">
  <dimension ref="A1:H7"/>
  <sheetViews>
    <sheetView tabSelected="1" workbookViewId="0">
      <selection activeCell="A3" sqref="A3:H7"/>
    </sheetView>
  </sheetViews>
  <sheetFormatPr defaultRowHeight="17.399999999999999" x14ac:dyDescent="0.4"/>
  <cols>
    <col min="3" max="3" width="21.09765625" customWidth="1"/>
  </cols>
  <sheetData>
    <row r="1" spans="1:8" x14ac:dyDescent="0.4">
      <c r="A1" s="6" t="s">
        <v>0</v>
      </c>
      <c r="B1" s="6"/>
      <c r="C1" s="6"/>
      <c r="D1" s="6"/>
    </row>
    <row r="2" spans="1:8" x14ac:dyDescent="0.4">
      <c r="F2" t="s">
        <v>14</v>
      </c>
      <c r="G2" t="s">
        <v>13</v>
      </c>
      <c r="H2" t="s">
        <v>15</v>
      </c>
    </row>
    <row r="3" spans="1:8" x14ac:dyDescent="0.4">
      <c r="A3" s="1" t="s">
        <v>1</v>
      </c>
      <c r="B3" s="1" t="s">
        <v>2</v>
      </c>
      <c r="C3" s="1" t="s">
        <v>7</v>
      </c>
      <c r="D3" s="1" t="s">
        <v>3</v>
      </c>
      <c r="E3" s="1" t="s">
        <v>4</v>
      </c>
      <c r="F3" s="1" t="s">
        <v>5</v>
      </c>
      <c r="G3" s="1" t="s">
        <v>6</v>
      </c>
      <c r="H3" s="8" t="s">
        <v>15</v>
      </c>
    </row>
    <row r="4" spans="1:8" x14ac:dyDescent="0.4">
      <c r="A4" s="1">
        <v>213.2</v>
      </c>
      <c r="B4" s="1">
        <v>216.9</v>
      </c>
      <c r="C4" s="1">
        <v>102</v>
      </c>
      <c r="D4" s="1">
        <f>C4-17.6-6.4</f>
        <v>78</v>
      </c>
      <c r="E4" s="1">
        <f>194.1-C4-5-17.6</f>
        <v>69.5</v>
      </c>
      <c r="F4" s="2">
        <f>D4/E4</f>
        <v>1.1223021582733812</v>
      </c>
      <c r="G4" s="2">
        <f>B4/A4</f>
        <v>1.0173545966228894</v>
      </c>
      <c r="H4" s="1">
        <f>(G4-F4)/G4*100</f>
        <v>-10.315730817835338</v>
      </c>
    </row>
    <row r="5" spans="1:8" x14ac:dyDescent="0.4">
      <c r="A5" s="1">
        <v>213.2</v>
      </c>
      <c r="B5" s="1">
        <v>316.89999999999998</v>
      </c>
      <c r="C5" s="1">
        <v>117</v>
      </c>
      <c r="D5" s="1">
        <f t="shared" ref="D5:D7" si="0">C5-17.6-6.4</f>
        <v>93</v>
      </c>
      <c r="E5" s="1">
        <f t="shared" ref="E5:E7" si="1">194.1-C5-5-17.6</f>
        <v>54.499999999999993</v>
      </c>
      <c r="F5" s="2">
        <f t="shared" ref="F5:F7" si="2">D5/E5</f>
        <v>1.7064220183486241</v>
      </c>
      <c r="G5" s="2">
        <f t="shared" ref="G5:G7" si="3">B5/A5</f>
        <v>1.4863977485928705</v>
      </c>
      <c r="H5" s="1">
        <f t="shared" ref="H5:H7" si="4">(G5-F5)/G5*100</f>
        <v>-14.802516349613962</v>
      </c>
    </row>
    <row r="6" spans="1:8" x14ac:dyDescent="0.4">
      <c r="A6" s="1">
        <v>213.2</v>
      </c>
      <c r="B6" s="1">
        <v>416.7</v>
      </c>
      <c r="C6" s="1">
        <v>122</v>
      </c>
      <c r="D6" s="1">
        <f t="shared" si="0"/>
        <v>98</v>
      </c>
      <c r="E6" s="1">
        <f t="shared" si="1"/>
        <v>49.499999999999993</v>
      </c>
      <c r="F6" s="2">
        <f t="shared" si="2"/>
        <v>1.9797979797979801</v>
      </c>
      <c r="G6" s="2">
        <f t="shared" si="3"/>
        <v>1.9545028142589118</v>
      </c>
      <c r="H6" s="1">
        <f t="shared" si="4"/>
        <v>-1.2941994943434991</v>
      </c>
    </row>
    <row r="7" spans="1:8" x14ac:dyDescent="0.4">
      <c r="A7" s="1">
        <v>313.2</v>
      </c>
      <c r="B7" s="1">
        <v>416.7</v>
      </c>
      <c r="C7" s="1">
        <v>110</v>
      </c>
      <c r="D7" s="1">
        <f t="shared" si="0"/>
        <v>86</v>
      </c>
      <c r="E7" s="1">
        <f t="shared" si="1"/>
        <v>61.499999999999993</v>
      </c>
      <c r="F7" s="2">
        <f t="shared" si="2"/>
        <v>1.3983739837398375</v>
      </c>
      <c r="G7" s="2">
        <f t="shared" si="3"/>
        <v>1.3304597701149425</v>
      </c>
      <c r="H7" s="1">
        <f t="shared" si="4"/>
        <v>-5.1045672443765513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0349-0529-46F3-B046-AA3D688F40B8}">
  <dimension ref="A1:E14"/>
  <sheetViews>
    <sheetView workbookViewId="0">
      <selection activeCell="F5" sqref="F5"/>
    </sheetView>
  </sheetViews>
  <sheetFormatPr defaultRowHeight="17.399999999999999" x14ac:dyDescent="0.4"/>
  <cols>
    <col min="3" max="3" width="10.8984375" customWidth="1"/>
    <col min="4" max="4" width="11.3984375" customWidth="1"/>
    <col min="5" max="5" width="13.09765625" customWidth="1"/>
  </cols>
  <sheetData>
    <row r="1" spans="1:5" x14ac:dyDescent="0.4">
      <c r="A1" s="4" t="s">
        <v>8</v>
      </c>
      <c r="B1" s="3"/>
      <c r="C1" s="3"/>
      <c r="D1" s="4"/>
    </row>
    <row r="2" spans="1:5" x14ac:dyDescent="0.4">
      <c r="A2" s="7" t="s">
        <v>9</v>
      </c>
      <c r="B2" s="7"/>
      <c r="C2" s="7"/>
      <c r="D2" s="7"/>
    </row>
    <row r="4" spans="1:5" x14ac:dyDescent="0.4">
      <c r="A4" s="6" t="s">
        <v>10</v>
      </c>
      <c r="B4" s="6"/>
      <c r="C4" s="6"/>
      <c r="D4" s="5">
        <v>213.2</v>
      </c>
      <c r="E4" s="5">
        <v>216.9</v>
      </c>
    </row>
    <row r="5" spans="1:5" x14ac:dyDescent="0.4">
      <c r="A5" s="6"/>
      <c r="D5" s="5" t="s">
        <v>11</v>
      </c>
      <c r="E5" s="5" t="s">
        <v>12</v>
      </c>
    </row>
    <row r="6" spans="1:5" x14ac:dyDescent="0.4">
      <c r="A6" s="6"/>
    </row>
    <row r="13" spans="1:5" x14ac:dyDescent="0.4">
      <c r="A13" s="6"/>
    </row>
    <row r="14" spans="1:5" x14ac:dyDescent="0.4">
      <c r="A14" s="6"/>
    </row>
  </sheetData>
  <mergeCells count="4">
    <mergeCell ref="A2:D2"/>
    <mergeCell ref="A5:A6"/>
    <mergeCell ref="A13:A14"/>
    <mergeCell ref="A4:C4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4-1</vt:lpstr>
      <vt:lpstr>4-2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K318A</dc:creator>
  <cp:lastModifiedBy>user</cp:lastModifiedBy>
  <dcterms:created xsi:type="dcterms:W3CDTF">2020-04-16T15:20:11Z</dcterms:created>
  <dcterms:modified xsi:type="dcterms:W3CDTF">2022-04-09T05:38:16Z</dcterms:modified>
</cp:coreProperties>
</file>