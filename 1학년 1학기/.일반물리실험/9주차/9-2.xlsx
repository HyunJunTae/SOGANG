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29" documentId="8_{AFAE69BB-8385-4B30-9C62-69324DA318A9}" xr6:coauthVersionLast="36" xr6:coauthVersionMax="36" xr10:uidLastSave="{303D7BF7-A8D7-42F4-8AA0-26D52F78477E}"/>
  <bookViews>
    <workbookView xWindow="0" yWindow="0" windowWidth="23040" windowHeight="8856" xr2:uid="{00000000-000D-0000-FFFF-FFFF00000000}"/>
  </bookViews>
  <sheets>
    <sheet name="2" sheetId="1" r:id="rId1"/>
  </sheets>
  <calcPr calcId="191029"/>
</workbook>
</file>

<file path=xl/calcChain.xml><?xml version="1.0" encoding="utf-8"?>
<calcChain xmlns="http://schemas.openxmlformats.org/spreadsheetml/2006/main">
  <c r="D29" i="1" l="1"/>
  <c r="E3" i="1"/>
  <c r="E16" i="1" l="1"/>
</calcChain>
</file>

<file path=xl/sharedStrings.xml><?xml version="1.0" encoding="utf-8"?>
<sst xmlns="http://schemas.openxmlformats.org/spreadsheetml/2006/main" count="30" uniqueCount="17">
  <si>
    <t>Run #3</t>
  </si>
  <si>
    <t>Time (s)</t>
  </si>
  <si>
    <t>Absolute Pressure (kPa)</t>
  </si>
  <si>
    <t>Temperature (°C)</t>
  </si>
  <si>
    <t>volume-1</t>
    <phoneticPr fontId="18" type="noConversion"/>
  </si>
  <si>
    <t>pressure</t>
    <phoneticPr fontId="18" type="noConversion"/>
  </si>
  <si>
    <t>volume</t>
    <phoneticPr fontId="18" type="noConversion"/>
  </si>
  <si>
    <t>1/50</t>
    <phoneticPr fontId="18" type="noConversion"/>
  </si>
  <si>
    <t>1/45</t>
    <phoneticPr fontId="18" type="noConversion"/>
  </si>
  <si>
    <t>1/40</t>
    <phoneticPr fontId="18" type="noConversion"/>
  </si>
  <si>
    <t>1/35</t>
    <phoneticPr fontId="18" type="noConversion"/>
  </si>
  <si>
    <t>1/30</t>
    <phoneticPr fontId="18" type="noConversion"/>
  </si>
  <si>
    <t>1/25</t>
    <phoneticPr fontId="18" type="noConversion"/>
  </si>
  <si>
    <t>몰수</t>
    <phoneticPr fontId="18" type="noConversion"/>
  </si>
  <si>
    <t>Absolute Pressure (atm)</t>
    <phoneticPr fontId="18" type="noConversion"/>
  </si>
  <si>
    <t>Temperature (°K)</t>
    <phoneticPr fontId="18" type="noConversion"/>
  </si>
  <si>
    <t>온도평균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</si>
</sst>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topLeftCell="A19" workbookViewId="0">
      <selection activeCell="F17" sqref="F17"/>
    </sheetView>
  </sheetViews>
  <sheetFormatPr defaultRowHeight="17.399999999999999" x14ac:dyDescent="0.4"/>
  <cols>
    <col min="2" max="2" width="21.296875" bestFit="1" customWidth="1"/>
    <col min="3" max="3" width="15.69921875" bestFit="1" customWidth="1"/>
    <col min="12" max="12" width="9.59765625" bestFit="1" customWidth="1"/>
  </cols>
  <sheetData>
    <row r="1" spans="1:13" x14ac:dyDescent="0.4">
      <c r="A1" t="s">
        <v>0</v>
      </c>
      <c r="B1" t="s">
        <v>0</v>
      </c>
      <c r="C1" t="s">
        <v>0</v>
      </c>
    </row>
    <row r="2" spans="1:13" x14ac:dyDescent="0.4">
      <c r="A2" t="s">
        <v>1</v>
      </c>
      <c r="B2" t="s">
        <v>2</v>
      </c>
      <c r="C2" t="s">
        <v>3</v>
      </c>
      <c r="E2" t="s">
        <v>16</v>
      </c>
    </row>
    <row r="3" spans="1:13" x14ac:dyDescent="0.4">
      <c r="A3">
        <v>2</v>
      </c>
      <c r="B3">
        <v>101.63</v>
      </c>
      <c r="C3">
        <v>32.78</v>
      </c>
      <c r="E3">
        <f>AVERAGE(C3:C8)</f>
        <v>32.854999999999997</v>
      </c>
    </row>
    <row r="4" spans="1:13" x14ac:dyDescent="0.4">
      <c r="A4">
        <v>11.9</v>
      </c>
      <c r="B4">
        <v>112.914</v>
      </c>
      <c r="C4">
        <v>32.86</v>
      </c>
      <c r="H4" t="s">
        <v>6</v>
      </c>
      <c r="I4" t="s">
        <v>5</v>
      </c>
      <c r="J4" t="s">
        <v>6</v>
      </c>
      <c r="K4" t="s">
        <v>5</v>
      </c>
      <c r="L4" t="s">
        <v>4</v>
      </c>
      <c r="M4" t="s">
        <v>5</v>
      </c>
    </row>
    <row r="5" spans="1:13" x14ac:dyDescent="0.4">
      <c r="A5">
        <v>30.95</v>
      </c>
      <c r="B5">
        <v>126.31</v>
      </c>
      <c r="C5">
        <v>32.89</v>
      </c>
      <c r="H5">
        <v>50</v>
      </c>
      <c r="I5">
        <v>101.63</v>
      </c>
      <c r="J5">
        <v>25</v>
      </c>
      <c r="K5">
        <v>196.82499999999999</v>
      </c>
      <c r="L5" s="1" t="s">
        <v>7</v>
      </c>
      <c r="M5">
        <v>101.63</v>
      </c>
    </row>
    <row r="6" spans="1:13" x14ac:dyDescent="0.4">
      <c r="A6">
        <v>50.05</v>
      </c>
      <c r="B6">
        <v>144.34299999999999</v>
      </c>
      <c r="C6">
        <v>32.94</v>
      </c>
      <c r="H6">
        <v>45</v>
      </c>
      <c r="I6">
        <v>112.914</v>
      </c>
      <c r="J6">
        <v>30</v>
      </c>
      <c r="K6">
        <v>165.74299999999999</v>
      </c>
      <c r="L6" s="1" t="s">
        <v>8</v>
      </c>
      <c r="M6">
        <v>112.914</v>
      </c>
    </row>
    <row r="7" spans="1:13" x14ac:dyDescent="0.4">
      <c r="A7">
        <v>67.75</v>
      </c>
      <c r="B7">
        <v>165.74299999999999</v>
      </c>
      <c r="C7">
        <v>32.9</v>
      </c>
      <c r="H7">
        <v>40</v>
      </c>
      <c r="I7">
        <v>126.31</v>
      </c>
      <c r="J7">
        <v>35</v>
      </c>
      <c r="K7">
        <v>144.34299999999999</v>
      </c>
      <c r="L7" t="s">
        <v>9</v>
      </c>
      <c r="M7">
        <v>126.31</v>
      </c>
    </row>
    <row r="8" spans="1:13" x14ac:dyDescent="0.4">
      <c r="A8">
        <v>82.85</v>
      </c>
      <c r="B8">
        <v>196.82499999999999</v>
      </c>
      <c r="C8">
        <v>32.76</v>
      </c>
      <c r="H8">
        <v>35</v>
      </c>
      <c r="I8">
        <v>144.34299999999999</v>
      </c>
      <c r="J8">
        <v>40</v>
      </c>
      <c r="K8">
        <v>126.31</v>
      </c>
      <c r="L8" t="s">
        <v>10</v>
      </c>
      <c r="M8">
        <v>144.34299999999999</v>
      </c>
    </row>
    <row r="9" spans="1:13" x14ac:dyDescent="0.4">
      <c r="H9">
        <v>30</v>
      </c>
      <c r="I9">
        <v>165.74299999999999</v>
      </c>
      <c r="J9">
        <v>45</v>
      </c>
      <c r="K9">
        <v>112.914</v>
      </c>
      <c r="L9" s="2" t="s">
        <v>11</v>
      </c>
      <c r="M9">
        <v>165.74299999999999</v>
      </c>
    </row>
    <row r="10" spans="1:13" x14ac:dyDescent="0.4">
      <c r="H10">
        <v>25</v>
      </c>
      <c r="I10">
        <v>196.82499999999999</v>
      </c>
      <c r="J10">
        <v>50</v>
      </c>
      <c r="K10">
        <v>101.63</v>
      </c>
      <c r="L10" s="2" t="s">
        <v>12</v>
      </c>
      <c r="M10">
        <v>196.82499999999999</v>
      </c>
    </row>
    <row r="15" spans="1:13" x14ac:dyDescent="0.4">
      <c r="E15" t="s">
        <v>13</v>
      </c>
    </row>
    <row r="16" spans="1:13" x14ac:dyDescent="0.4">
      <c r="E16">
        <f>(1.00301012*0.05) / (0.082*(273.15+32.78))</f>
        <v>1.9991224678369756E-3</v>
      </c>
    </row>
    <row r="28" spans="2:5" x14ac:dyDescent="0.4">
      <c r="B28" t="s">
        <v>14</v>
      </c>
      <c r="C28" t="s">
        <v>15</v>
      </c>
      <c r="D28" t="s">
        <v>16</v>
      </c>
      <c r="E28" t="s">
        <v>4</v>
      </c>
    </row>
    <row r="29" spans="2:5" x14ac:dyDescent="0.4">
      <c r="B29">
        <v>1.0030101199999999</v>
      </c>
      <c r="C29">
        <v>32.78</v>
      </c>
      <c r="D29">
        <f>AVERAGE(C29:C34) + 273.15</f>
        <v>306.005</v>
      </c>
      <c r="E29" s="1" t="s">
        <v>7</v>
      </c>
    </row>
    <row r="30" spans="2:5" x14ac:dyDescent="0.4">
      <c r="B30">
        <v>1.114374537</v>
      </c>
      <c r="C30">
        <v>32.86</v>
      </c>
      <c r="E30" s="1" t="s">
        <v>8</v>
      </c>
    </row>
    <row r="31" spans="2:5" x14ac:dyDescent="0.4">
      <c r="B31">
        <v>1.24658278</v>
      </c>
      <c r="C31">
        <v>32.89</v>
      </c>
      <c r="E31" t="s">
        <v>9</v>
      </c>
    </row>
    <row r="32" spans="2:5" x14ac:dyDescent="0.4">
      <c r="B32">
        <v>1.424554651</v>
      </c>
      <c r="C32">
        <v>32.94</v>
      </c>
      <c r="E32" t="s">
        <v>10</v>
      </c>
    </row>
    <row r="33" spans="2:5" x14ac:dyDescent="0.4">
      <c r="B33">
        <v>1.6357562299999999</v>
      </c>
      <c r="C33">
        <v>32.9</v>
      </c>
      <c r="E33" s="2" t="s">
        <v>11</v>
      </c>
    </row>
    <row r="34" spans="2:5" x14ac:dyDescent="0.4">
      <c r="B34">
        <v>1.9425117199999999</v>
      </c>
      <c r="C34">
        <v>32.76</v>
      </c>
      <c r="E34" s="2" t="s">
        <v>12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2022-05-20T11:38:26Z</dcterms:created>
  <dcterms:modified xsi:type="dcterms:W3CDTF">2022-05-22T14:12:09Z</dcterms:modified>
</cp:coreProperties>
</file>