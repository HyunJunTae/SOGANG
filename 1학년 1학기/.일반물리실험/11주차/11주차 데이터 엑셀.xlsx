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"/>
    </mc:Choice>
  </mc:AlternateContent>
  <xr:revisionPtr revIDLastSave="1" documentId="8_{02D5A8A2-52FF-4EF9-92C1-E06B7D4CF778}" xr6:coauthVersionLast="36" xr6:coauthVersionMax="36" xr10:uidLastSave="{FF7DAF96-D3B7-4BEC-9C8F-29F263C36AB3}"/>
  <bookViews>
    <workbookView xWindow="0" yWindow="0" windowWidth="23040" windowHeight="8856" xr2:uid="{24006713-B841-4530-9749-6D0EB028E2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8" i="1" l="1"/>
  <c r="O67" i="1"/>
  <c r="O66" i="1"/>
  <c r="O59" i="1"/>
  <c r="O58" i="1"/>
  <c r="O57" i="1"/>
  <c r="O49" i="1"/>
  <c r="O48" i="1"/>
  <c r="O47" i="1"/>
  <c r="O32" i="1"/>
  <c r="O31" i="1"/>
  <c r="O30" i="1"/>
  <c r="O23" i="1"/>
  <c r="O22" i="1"/>
  <c r="O21" i="1"/>
  <c r="O12" i="1"/>
  <c r="O13" i="1"/>
  <c r="O11" i="1"/>
  <c r="P49" i="1"/>
  <c r="P48" i="1"/>
  <c r="P47" i="1"/>
  <c r="P59" i="1"/>
  <c r="P58" i="1"/>
  <c r="P57" i="1"/>
  <c r="P68" i="1"/>
  <c r="P67" i="1"/>
  <c r="P66" i="1"/>
  <c r="P32" i="1"/>
  <c r="P31" i="1"/>
  <c r="P30" i="1"/>
  <c r="P23" i="1"/>
  <c r="P22" i="1"/>
  <c r="P21" i="1"/>
  <c r="P13" i="1"/>
  <c r="P12" i="1"/>
  <c r="P11" i="1"/>
  <c r="M32" i="1" l="1"/>
  <c r="M31" i="1"/>
  <c r="N31" i="1" s="1"/>
  <c r="M30" i="1"/>
  <c r="M23" i="1"/>
  <c r="M22" i="1"/>
  <c r="N22" i="1" s="1"/>
  <c r="M21" i="1"/>
  <c r="M13" i="1"/>
  <c r="N13" i="1" s="1"/>
  <c r="M12" i="1"/>
  <c r="N12" i="1" s="1"/>
  <c r="M11" i="1"/>
  <c r="N11" i="1" s="1"/>
  <c r="E8" i="1"/>
  <c r="M47" i="1"/>
  <c r="N47" i="1" s="1"/>
  <c r="H44" i="1"/>
  <c r="F44" i="1"/>
  <c r="M68" i="1"/>
  <c r="N68" i="1" s="1"/>
  <c r="K68" i="1"/>
  <c r="M67" i="1"/>
  <c r="N67" i="1" s="1"/>
  <c r="K67" i="1"/>
  <c r="M66" i="1"/>
  <c r="N66" i="1" s="1"/>
  <c r="K66" i="1"/>
  <c r="M59" i="1"/>
  <c r="N59" i="1" s="1"/>
  <c r="K59" i="1"/>
  <c r="M58" i="1"/>
  <c r="N58" i="1" s="1"/>
  <c r="M57" i="1"/>
  <c r="N57" i="1" s="1"/>
  <c r="N49" i="1"/>
  <c r="M49" i="1"/>
  <c r="K49" i="1"/>
  <c r="M48" i="1"/>
  <c r="N48" i="1" s="1"/>
  <c r="N32" i="1"/>
  <c r="N30" i="1"/>
  <c r="K30" i="1"/>
  <c r="K31" i="1"/>
  <c r="K23" i="1"/>
  <c r="K32" i="1"/>
  <c r="N21" i="1"/>
  <c r="N23" i="1"/>
  <c r="K13" i="1"/>
  <c r="H8" i="1"/>
  <c r="F8" i="1"/>
</calcChain>
</file>

<file path=xl/sharedStrings.xml><?xml version="1.0" encoding="utf-8"?>
<sst xmlns="http://schemas.openxmlformats.org/spreadsheetml/2006/main" count="66" uniqueCount="19">
  <si>
    <t>선형밀도(kg/m)</t>
    <phoneticPr fontId="1" type="noConversion"/>
  </si>
  <si>
    <t>추의질량(g)</t>
    <phoneticPr fontId="1" type="noConversion"/>
  </si>
  <si>
    <t>길이(m)</t>
    <phoneticPr fontId="1" type="noConversion"/>
  </si>
  <si>
    <t>질량(kg)</t>
    <phoneticPr fontId="1" type="noConversion"/>
  </si>
  <si>
    <t>장력(kg*m/s^2)</t>
    <phoneticPr fontId="1" type="noConversion"/>
  </si>
  <si>
    <t>1. 1m</t>
    <phoneticPr fontId="1" type="noConversion"/>
  </si>
  <si>
    <t>차수 n</t>
    <phoneticPr fontId="1" type="noConversion"/>
  </si>
  <si>
    <t>파장 (m)</t>
    <phoneticPr fontId="1" type="noConversion"/>
  </si>
  <si>
    <t>공명주파수</t>
    <phoneticPr fontId="1" type="noConversion"/>
  </si>
  <si>
    <t>실험값</t>
    <phoneticPr fontId="1" type="noConversion"/>
  </si>
  <si>
    <t>이론값</t>
    <phoneticPr fontId="1" type="noConversion"/>
  </si>
  <si>
    <t>오차율(%)</t>
    <phoneticPr fontId="1" type="noConversion"/>
  </si>
  <si>
    <t>파동속도(m/s)</t>
    <phoneticPr fontId="1" type="noConversion"/>
  </si>
  <si>
    <t>2. 0.8m</t>
    <phoneticPr fontId="1" type="noConversion"/>
  </si>
  <si>
    <t>3. 장력</t>
    <phoneticPr fontId="1" type="noConversion"/>
  </si>
  <si>
    <t>추의 질량(g)</t>
    <phoneticPr fontId="1" type="noConversion"/>
  </si>
  <si>
    <t>굵은줄</t>
    <phoneticPr fontId="1" type="noConversion"/>
  </si>
  <si>
    <t>파동속도이론값</t>
    <phoneticPr fontId="1" type="noConversion"/>
  </si>
  <si>
    <t>가는줄+CC7:P32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</si>
</sst>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99E33-F731-43A1-AF9B-BD626A553A23}">
  <dimension ref="C7:P68"/>
  <sheetViews>
    <sheetView tabSelected="1" workbookViewId="0">
      <selection activeCell="L5" sqref="L5"/>
    </sheetView>
  </sheetViews>
  <sheetFormatPr defaultRowHeight="17.399999999999999" x14ac:dyDescent="0.4"/>
  <cols>
    <col min="6" max="6" width="14.19921875" bestFit="1" customWidth="1"/>
    <col min="7" max="7" width="10.796875" bestFit="1" customWidth="1"/>
    <col min="8" max="8" width="14.59765625" bestFit="1" customWidth="1"/>
    <col min="13" max="14" width="9.796875" bestFit="1" customWidth="1"/>
    <col min="15" max="15" width="13" bestFit="1" customWidth="1"/>
    <col min="16" max="16" width="14.3984375" bestFit="1" customWidth="1"/>
  </cols>
  <sheetData>
    <row r="7" spans="3:16" x14ac:dyDescent="0.4">
      <c r="C7" t="s">
        <v>18</v>
      </c>
      <c r="D7" t="s">
        <v>2</v>
      </c>
      <c r="E7" t="s">
        <v>3</v>
      </c>
      <c r="F7" t="s">
        <v>0</v>
      </c>
      <c r="G7" t="s">
        <v>1</v>
      </c>
      <c r="H7" t="s">
        <v>4</v>
      </c>
      <c r="J7" t="s">
        <v>5</v>
      </c>
    </row>
    <row r="8" spans="3:16" x14ac:dyDescent="0.4">
      <c r="D8">
        <v>1.5</v>
      </c>
      <c r="E8">
        <f>0.05/1000</f>
        <v>5.0000000000000002E-5</v>
      </c>
      <c r="F8" s="1">
        <f>E8 / D8</f>
        <v>3.3333333333333335E-5</v>
      </c>
      <c r="G8">
        <v>200</v>
      </c>
      <c r="H8">
        <f>G8/1000 * 9.8</f>
        <v>1.9600000000000002</v>
      </c>
    </row>
    <row r="9" spans="3:16" x14ac:dyDescent="0.4">
      <c r="J9" s="4" t="s">
        <v>6</v>
      </c>
      <c r="K9" s="4" t="s">
        <v>7</v>
      </c>
      <c r="L9" s="4" t="s">
        <v>8</v>
      </c>
      <c r="M9" s="4"/>
      <c r="N9" s="4" t="s">
        <v>11</v>
      </c>
      <c r="O9" s="4" t="s">
        <v>12</v>
      </c>
      <c r="P9" s="4" t="s">
        <v>17</v>
      </c>
    </row>
    <row r="10" spans="3:16" x14ac:dyDescent="0.4">
      <c r="J10" s="4"/>
      <c r="K10" s="4"/>
      <c r="L10" s="2" t="s">
        <v>9</v>
      </c>
      <c r="M10" s="2" t="s">
        <v>10</v>
      </c>
      <c r="N10" s="4"/>
      <c r="O10" s="4"/>
      <c r="P10" s="4"/>
    </row>
    <row r="11" spans="3:16" x14ac:dyDescent="0.4">
      <c r="J11" s="2">
        <v>1</v>
      </c>
      <c r="K11" s="2">
        <v>2</v>
      </c>
      <c r="L11" s="2">
        <v>136.5</v>
      </c>
      <c r="M11" s="3">
        <f>((1/2) * SQRT(1.96/0.00003))</f>
        <v>127.80193008453875</v>
      </c>
      <c r="N11" s="3">
        <f>ABS((M11-L11)/M11)*100</f>
        <v>6.8058987135073981</v>
      </c>
      <c r="O11" s="3">
        <f>K11*L11</f>
        <v>273</v>
      </c>
      <c r="P11" s="3">
        <f>SQRT(1.96/0.000033)</f>
        <v>243.70871833797696</v>
      </c>
    </row>
    <row r="12" spans="3:16" x14ac:dyDescent="0.4">
      <c r="J12" s="2">
        <v>2</v>
      </c>
      <c r="K12" s="2">
        <v>1</v>
      </c>
      <c r="L12" s="2">
        <v>295</v>
      </c>
      <c r="M12" s="3">
        <f>((2/2) * SQRT(1.96/0.00003))</f>
        <v>255.60386016907751</v>
      </c>
      <c r="N12" s="3">
        <f t="shared" ref="N12:N13" si="0">ABS((M12-L12)/M12)*100</f>
        <v>15.412967474302866</v>
      </c>
      <c r="O12" s="3">
        <f t="shared" ref="O12:O13" si="1">K12*L12</f>
        <v>295</v>
      </c>
      <c r="P12" s="3">
        <f>SQRT(1.96/0.000033)</f>
        <v>243.70871833797696</v>
      </c>
    </row>
    <row r="13" spans="3:16" x14ac:dyDescent="0.4">
      <c r="J13" s="2">
        <v>3</v>
      </c>
      <c r="K13" s="3">
        <f>2/3</f>
        <v>0.66666666666666663</v>
      </c>
      <c r="L13" s="2">
        <v>452.5</v>
      </c>
      <c r="M13" s="3">
        <f>((3/2) * SQRT(1.96/0.00003))</f>
        <v>383.40579025361626</v>
      </c>
      <c r="N13" s="3">
        <f t="shared" si="0"/>
        <v>18.02117012908937</v>
      </c>
      <c r="O13" s="3">
        <f t="shared" si="1"/>
        <v>301.66666666666663</v>
      </c>
      <c r="P13" s="3">
        <f>SQRT(1.96/0.000033)</f>
        <v>243.70871833797696</v>
      </c>
    </row>
    <row r="17" spans="10:16" x14ac:dyDescent="0.4">
      <c r="J17" t="s">
        <v>13</v>
      </c>
    </row>
    <row r="19" spans="10:16" x14ac:dyDescent="0.4">
      <c r="J19" s="4" t="s">
        <v>6</v>
      </c>
      <c r="K19" s="4" t="s">
        <v>7</v>
      </c>
      <c r="L19" s="4" t="s">
        <v>8</v>
      </c>
      <c r="M19" s="4"/>
      <c r="N19" s="4" t="s">
        <v>11</v>
      </c>
      <c r="O19" s="4" t="s">
        <v>12</v>
      </c>
      <c r="P19" s="4" t="s">
        <v>17</v>
      </c>
    </row>
    <row r="20" spans="10:16" x14ac:dyDescent="0.4">
      <c r="J20" s="4"/>
      <c r="K20" s="4"/>
      <c r="L20" s="2" t="s">
        <v>9</v>
      </c>
      <c r="M20" s="2" t="s">
        <v>10</v>
      </c>
      <c r="N20" s="4"/>
      <c r="O20" s="4"/>
      <c r="P20" s="4"/>
    </row>
    <row r="21" spans="10:16" x14ac:dyDescent="0.4">
      <c r="J21" s="2">
        <v>1</v>
      </c>
      <c r="K21" s="2">
        <v>0.8</v>
      </c>
      <c r="L21" s="2">
        <v>176.5</v>
      </c>
      <c r="M21" s="3">
        <f>((1/1.6) * SQRT(1.96/0.00003))</f>
        <v>159.75241260567344</v>
      </c>
      <c r="N21" s="3">
        <f>ABS((M21-L21)/M21)*100</f>
        <v>10.483464456756369</v>
      </c>
      <c r="O21" s="3">
        <f>K21*L21</f>
        <v>141.20000000000002</v>
      </c>
      <c r="P21" s="3">
        <f>SQRT(1.96/0.000033)</f>
        <v>243.70871833797696</v>
      </c>
    </row>
    <row r="22" spans="10:16" x14ac:dyDescent="0.4">
      <c r="J22" s="2">
        <v>2</v>
      </c>
      <c r="K22" s="2">
        <v>0.4</v>
      </c>
      <c r="L22" s="2">
        <v>356.6</v>
      </c>
      <c r="M22" s="3">
        <f>((2/1.6) * SQRT(1.96/0.00003))</f>
        <v>319.50482521134688</v>
      </c>
      <c r="N22" s="3">
        <f t="shared" ref="N22:N23" si="2">ABS((M22-L22)/M22)*100</f>
        <v>11.610208003624148</v>
      </c>
      <c r="O22" s="3">
        <f t="shared" ref="O22:O23" si="3">K22*L22</f>
        <v>142.64000000000001</v>
      </c>
      <c r="P22" s="3">
        <f>SQRT(1.96/0.000033)</f>
        <v>243.70871833797696</v>
      </c>
    </row>
    <row r="23" spans="10:16" x14ac:dyDescent="0.4">
      <c r="J23" s="2">
        <v>3</v>
      </c>
      <c r="K23" s="3">
        <f>0.8/3</f>
        <v>0.26666666666666666</v>
      </c>
      <c r="L23" s="2">
        <v>612</v>
      </c>
      <c r="M23" s="3">
        <f>((3/1.6) * SQRT(1.96/0.00003))</f>
        <v>479.25723781702033</v>
      </c>
      <c r="N23" s="3">
        <f t="shared" si="2"/>
        <v>27.697601978347308</v>
      </c>
      <c r="O23" s="3">
        <f t="shared" si="3"/>
        <v>163.19999999999999</v>
      </c>
      <c r="P23" s="3">
        <f>SQRT(1.96/0.000033)</f>
        <v>243.70871833797696</v>
      </c>
    </row>
    <row r="26" spans="10:16" x14ac:dyDescent="0.4">
      <c r="J26" t="s">
        <v>14</v>
      </c>
    </row>
    <row r="28" spans="10:16" x14ac:dyDescent="0.4">
      <c r="J28" s="4" t="s">
        <v>15</v>
      </c>
      <c r="K28" s="4" t="s">
        <v>7</v>
      </c>
      <c r="L28" s="4" t="s">
        <v>8</v>
      </c>
      <c r="M28" s="4"/>
      <c r="N28" s="4" t="s">
        <v>11</v>
      </c>
      <c r="O28" s="4" t="s">
        <v>12</v>
      </c>
      <c r="P28" s="4" t="s">
        <v>17</v>
      </c>
    </row>
    <row r="29" spans="10:16" x14ac:dyDescent="0.4">
      <c r="J29" s="4"/>
      <c r="K29" s="4"/>
      <c r="L29" s="2" t="s">
        <v>9</v>
      </c>
      <c r="M29" s="2" t="s">
        <v>10</v>
      </c>
      <c r="N29" s="4"/>
      <c r="O29" s="4"/>
      <c r="P29" s="4"/>
    </row>
    <row r="30" spans="10:16" x14ac:dyDescent="0.4">
      <c r="J30" s="2">
        <v>1</v>
      </c>
      <c r="K30" s="3">
        <f>2/3</f>
        <v>0.66666666666666663</v>
      </c>
      <c r="L30" s="2">
        <v>295.39999999999998</v>
      </c>
      <c r="M30" s="3">
        <f>((3/2) * SQRT(0.98/0.00003))</f>
        <v>271.10883423451912</v>
      </c>
      <c r="N30" s="3">
        <f>ABS((M30-L30)/M30)*100</f>
        <v>8.9599314733020101</v>
      </c>
      <c r="O30" s="3">
        <f>K30*L30</f>
        <v>196.93333333333331</v>
      </c>
      <c r="P30" s="3">
        <f>SQRT(1.96/2/0.000033)</f>
        <v>172.32808737106581</v>
      </c>
    </row>
    <row r="31" spans="10:16" x14ac:dyDescent="0.4">
      <c r="J31" s="2">
        <v>2</v>
      </c>
      <c r="K31" s="3">
        <f>2/3</f>
        <v>0.66666666666666663</v>
      </c>
      <c r="L31" s="2">
        <v>452.5</v>
      </c>
      <c r="M31" s="3">
        <f>((3/2) * SQRT(0.98*2/0.00003))</f>
        <v>383.40579025361626</v>
      </c>
      <c r="N31" s="3">
        <f t="shared" ref="N31:N32" si="4">ABS((M31-L31)/M31)*100</f>
        <v>18.02117012908937</v>
      </c>
      <c r="O31" s="3">
        <f t="shared" ref="O31:O32" si="5">K31*L31</f>
        <v>301.66666666666663</v>
      </c>
      <c r="P31" s="3">
        <f>SQRT(1.96/0.000033)</f>
        <v>243.70871833797696</v>
      </c>
    </row>
    <row r="32" spans="10:16" x14ac:dyDescent="0.4">
      <c r="J32" s="2">
        <v>3</v>
      </c>
      <c r="K32" s="3">
        <f>2/3</f>
        <v>0.66666666666666663</v>
      </c>
      <c r="L32" s="2">
        <v>619</v>
      </c>
      <c r="M32" s="3">
        <f>((3/2) * SQRT(0.98*4/0.00003))</f>
        <v>542.21766846903824</v>
      </c>
      <c r="N32" s="3">
        <f t="shared" si="4"/>
        <v>14.160794823923409</v>
      </c>
      <c r="O32" s="3">
        <f t="shared" si="5"/>
        <v>412.66666666666663</v>
      </c>
      <c r="P32" s="3">
        <f>SQRT(1.96*2/0.000033)</f>
        <v>344.65617474213161</v>
      </c>
    </row>
    <row r="43" spans="3:16" x14ac:dyDescent="0.4">
      <c r="C43" t="s">
        <v>16</v>
      </c>
      <c r="D43" t="s">
        <v>2</v>
      </c>
      <c r="E43" t="s">
        <v>3</v>
      </c>
      <c r="F43" t="s">
        <v>0</v>
      </c>
      <c r="G43" t="s">
        <v>1</v>
      </c>
      <c r="H43" t="s">
        <v>4</v>
      </c>
      <c r="J43" t="s">
        <v>5</v>
      </c>
    </row>
    <row r="44" spans="3:16" x14ac:dyDescent="0.4">
      <c r="D44">
        <v>1.5</v>
      </c>
      <c r="E44">
        <v>2.0000000000000001E-4</v>
      </c>
      <c r="F44" s="1">
        <f>E44 / D44</f>
        <v>1.3333333333333334E-4</v>
      </c>
      <c r="G44">
        <v>200</v>
      </c>
      <c r="H44">
        <f>G44/1000 * 9.8</f>
        <v>1.9600000000000002</v>
      </c>
    </row>
    <row r="45" spans="3:16" x14ac:dyDescent="0.4">
      <c r="J45" s="4" t="s">
        <v>6</v>
      </c>
      <c r="K45" s="4" t="s">
        <v>7</v>
      </c>
      <c r="L45" s="4" t="s">
        <v>8</v>
      </c>
      <c r="M45" s="4"/>
      <c r="N45" s="4" t="s">
        <v>11</v>
      </c>
      <c r="O45" s="4" t="s">
        <v>12</v>
      </c>
      <c r="P45" s="4" t="s">
        <v>17</v>
      </c>
    </row>
    <row r="46" spans="3:16" x14ac:dyDescent="0.4">
      <c r="J46" s="4"/>
      <c r="K46" s="4"/>
      <c r="L46" s="2" t="s">
        <v>9</v>
      </c>
      <c r="M46" s="2" t="s">
        <v>10</v>
      </c>
      <c r="N46" s="4"/>
      <c r="O46" s="4"/>
      <c r="P46" s="4"/>
    </row>
    <row r="47" spans="3:16" x14ac:dyDescent="0.4">
      <c r="J47" s="2">
        <v>1</v>
      </c>
      <c r="K47" s="2">
        <v>2</v>
      </c>
      <c r="L47" s="2">
        <v>62</v>
      </c>
      <c r="M47" s="3">
        <f>((1/2) * SQRT(1.96/0.00013))</f>
        <v>61.394061351492049</v>
      </c>
      <c r="N47" s="3">
        <f>ABS((M47-L47)/M47)*100</f>
        <v>0.98696622306650095</v>
      </c>
      <c r="O47" s="3">
        <f>K47*L47</f>
        <v>124</v>
      </c>
      <c r="P47" s="3">
        <f>SQRT(1.96/0.000133)</f>
        <v>121.39539573337679</v>
      </c>
    </row>
    <row r="48" spans="3:16" x14ac:dyDescent="0.4">
      <c r="J48" s="2">
        <v>2</v>
      </c>
      <c r="K48" s="2">
        <v>1</v>
      </c>
      <c r="L48" s="2">
        <v>137.69999999999999</v>
      </c>
      <c r="M48" s="3">
        <f>((2/2) * SQRT(1.96/0.00013))</f>
        <v>122.7881227029841</v>
      </c>
      <c r="N48" s="3">
        <f t="shared" ref="N48:N49" si="6">ABS((M48-L48)/M48)*100</f>
        <v>12.144397168679484</v>
      </c>
      <c r="O48" s="3">
        <f t="shared" ref="O48:O49" si="7">K48*L48</f>
        <v>137.69999999999999</v>
      </c>
      <c r="P48" s="3">
        <f t="shared" ref="O48:P49" si="8">SQRT(1.96/0.000133)</f>
        <v>121.39539573337679</v>
      </c>
    </row>
    <row r="49" spans="10:16" x14ac:dyDescent="0.4">
      <c r="J49" s="2">
        <v>3</v>
      </c>
      <c r="K49" s="3">
        <f>2/3</f>
        <v>0.66666666666666663</v>
      </c>
      <c r="L49" s="2">
        <v>206.3</v>
      </c>
      <c r="M49" s="3">
        <f>((3/2) * SQRT(1.96/0.00013))</f>
        <v>184.18218405447615</v>
      </c>
      <c r="N49" s="3">
        <f t="shared" si="6"/>
        <v>12.008661999024836</v>
      </c>
      <c r="O49" s="3">
        <f t="shared" si="7"/>
        <v>137.53333333333333</v>
      </c>
      <c r="P49" s="3">
        <f t="shared" si="8"/>
        <v>121.39539573337679</v>
      </c>
    </row>
    <row r="53" spans="10:16" x14ac:dyDescent="0.4">
      <c r="J53" t="s">
        <v>13</v>
      </c>
    </row>
    <row r="55" spans="10:16" x14ac:dyDescent="0.4">
      <c r="J55" s="4" t="s">
        <v>6</v>
      </c>
      <c r="K55" s="4" t="s">
        <v>7</v>
      </c>
      <c r="L55" s="4" t="s">
        <v>8</v>
      </c>
      <c r="M55" s="4"/>
      <c r="N55" s="4" t="s">
        <v>11</v>
      </c>
      <c r="O55" s="4" t="s">
        <v>12</v>
      </c>
      <c r="P55" s="4" t="s">
        <v>17</v>
      </c>
    </row>
    <row r="56" spans="10:16" x14ac:dyDescent="0.4">
      <c r="J56" s="4"/>
      <c r="K56" s="4"/>
      <c r="L56" s="2" t="s">
        <v>9</v>
      </c>
      <c r="M56" s="2" t="s">
        <v>10</v>
      </c>
      <c r="N56" s="4"/>
      <c r="O56" s="4"/>
      <c r="P56" s="4"/>
    </row>
    <row r="57" spans="10:16" x14ac:dyDescent="0.4">
      <c r="J57" s="2">
        <v>1</v>
      </c>
      <c r="K57" s="2">
        <v>0.8</v>
      </c>
      <c r="L57" s="2">
        <v>63.4</v>
      </c>
      <c r="M57" s="3">
        <f>((1/1.6) * SQRT(1.96/0.00013))</f>
        <v>76.742576689365066</v>
      </c>
      <c r="N57" s="3">
        <f>ABS((M57-L57)/M57)*100</f>
        <v>17.386146341388187</v>
      </c>
      <c r="O57" s="3">
        <f>K57*L57</f>
        <v>50.72</v>
      </c>
      <c r="P57" s="3">
        <f>SQRT(1.96/0.000133)</f>
        <v>121.39539573337679</v>
      </c>
    </row>
    <row r="58" spans="10:16" x14ac:dyDescent="0.4">
      <c r="J58" s="2">
        <v>2</v>
      </c>
      <c r="K58" s="2">
        <v>0.4</v>
      </c>
      <c r="L58" s="2">
        <v>173.1</v>
      </c>
      <c r="M58" s="3">
        <f>((2/1.6) * SQRT(1.96/0.00013))</f>
        <v>153.48515337873013</v>
      </c>
      <c r="N58" s="3">
        <f t="shared" ref="N58:N59" si="9">ABS((M58-L58)/M58)*100</f>
        <v>12.779637762663288</v>
      </c>
      <c r="O58" s="3">
        <f t="shared" ref="O58:O59" si="10">K58*L58</f>
        <v>69.239999999999995</v>
      </c>
      <c r="P58" s="3">
        <f t="shared" ref="O58:P59" si="11">SQRT(1.96/0.000133)</f>
        <v>121.39539573337679</v>
      </c>
    </row>
    <row r="59" spans="10:16" x14ac:dyDescent="0.4">
      <c r="J59" s="2">
        <v>3</v>
      </c>
      <c r="K59" s="3">
        <f>0.8/3</f>
        <v>0.26666666666666666</v>
      </c>
      <c r="L59" s="2">
        <v>260.3</v>
      </c>
      <c r="M59" s="3">
        <f>((3/1.6) * SQRT(1.96/0.00013))</f>
        <v>230.22773006809518</v>
      </c>
      <c r="N59" s="3">
        <f t="shared" si="9"/>
        <v>13.061966915544994</v>
      </c>
      <c r="O59" s="3">
        <f t="shared" si="10"/>
        <v>69.413333333333341</v>
      </c>
      <c r="P59" s="3">
        <f t="shared" si="11"/>
        <v>121.39539573337679</v>
      </c>
    </row>
    <row r="62" spans="10:16" x14ac:dyDescent="0.4">
      <c r="J62" t="s">
        <v>14</v>
      </c>
    </row>
    <row r="64" spans="10:16" x14ac:dyDescent="0.4">
      <c r="J64" s="4" t="s">
        <v>15</v>
      </c>
      <c r="K64" s="4" t="s">
        <v>7</v>
      </c>
      <c r="L64" s="4" t="s">
        <v>8</v>
      </c>
      <c r="M64" s="4"/>
      <c r="N64" s="4" t="s">
        <v>11</v>
      </c>
      <c r="O64" s="4" t="s">
        <v>12</v>
      </c>
      <c r="P64" s="4" t="s">
        <v>17</v>
      </c>
    </row>
    <row r="65" spans="10:16" x14ac:dyDescent="0.4">
      <c r="J65" s="4"/>
      <c r="K65" s="4"/>
      <c r="L65" s="2" t="s">
        <v>9</v>
      </c>
      <c r="M65" s="2" t="s">
        <v>10</v>
      </c>
      <c r="N65" s="4"/>
      <c r="O65" s="4"/>
      <c r="P65" s="4"/>
    </row>
    <row r="66" spans="10:16" x14ac:dyDescent="0.4">
      <c r="J66" s="2">
        <v>1</v>
      </c>
      <c r="K66" s="3">
        <f>2/3</f>
        <v>0.66666666666666663</v>
      </c>
      <c r="L66" s="2">
        <v>145.69999999999999</v>
      </c>
      <c r="M66" s="3">
        <f>((3/2) * SQRT(0.98/0.00013))</f>
        <v>130.23647131866889</v>
      </c>
      <c r="N66" s="3">
        <f>ABS((M66-L66)/M66)*100</f>
        <v>11.873424183533189</v>
      </c>
      <c r="O66" s="3">
        <f>K66*L66</f>
        <v>97.133333333333326</v>
      </c>
      <c r="P66" s="3">
        <f>SQRT(0.98/0.000133)</f>
        <v>85.839507527895208</v>
      </c>
    </row>
    <row r="67" spans="10:16" x14ac:dyDescent="0.4">
      <c r="J67" s="2">
        <v>2</v>
      </c>
      <c r="K67" s="3">
        <f>2/3</f>
        <v>0.66666666666666663</v>
      </c>
      <c r="L67" s="2">
        <v>207.5</v>
      </c>
      <c r="M67" s="3">
        <f>((3/2) * SQRT(0.98*2/0.00013))</f>
        <v>184.18218405447615</v>
      </c>
      <c r="N67" s="3">
        <f t="shared" ref="N67:N68" si="12">ABS((M67-L67)/M67)*100</f>
        <v>12.660190813367194</v>
      </c>
      <c r="O67" s="3">
        <f t="shared" ref="O67:O68" si="13">K67*L67</f>
        <v>138.33333333333331</v>
      </c>
      <c r="P67" s="3">
        <f t="shared" ref="O67:P67" si="14">SQRT(1.96/0.000133)</f>
        <v>121.39539573337679</v>
      </c>
    </row>
    <row r="68" spans="10:16" x14ac:dyDescent="0.4">
      <c r="J68" s="2">
        <v>3</v>
      </c>
      <c r="K68" s="3">
        <f>2/3</f>
        <v>0.66666666666666663</v>
      </c>
      <c r="L68" s="2">
        <v>290.5</v>
      </c>
      <c r="M68" s="3">
        <f>((3/2) * SQRT(0.98*4/0.00013))</f>
        <v>260.47294263733778</v>
      </c>
      <c r="N68" s="3">
        <f t="shared" si="12"/>
        <v>11.527898851463259</v>
      </c>
      <c r="O68" s="3">
        <f t="shared" si="13"/>
        <v>193.66666666666666</v>
      </c>
      <c r="P68" s="3">
        <f>SQRT(1.96*2/0.000133)</f>
        <v>171.67901505579042</v>
      </c>
    </row>
  </sheetData>
  <mergeCells count="36">
    <mergeCell ref="P64:P65"/>
    <mergeCell ref="P9:P10"/>
    <mergeCell ref="P19:P20"/>
    <mergeCell ref="P28:P29"/>
    <mergeCell ref="P45:P46"/>
    <mergeCell ref="P55:P56"/>
    <mergeCell ref="L9:M9"/>
    <mergeCell ref="J9:J10"/>
    <mergeCell ref="K9:K10"/>
    <mergeCell ref="N9:N10"/>
    <mergeCell ref="O9:O10"/>
    <mergeCell ref="J28:J29"/>
    <mergeCell ref="K28:K29"/>
    <mergeCell ref="L28:M28"/>
    <mergeCell ref="N28:N29"/>
    <mergeCell ref="O28:O29"/>
    <mergeCell ref="J19:J20"/>
    <mergeCell ref="K19:K20"/>
    <mergeCell ref="L19:M19"/>
    <mergeCell ref="N19:N20"/>
    <mergeCell ref="O19:O20"/>
    <mergeCell ref="J55:J56"/>
    <mergeCell ref="K55:K56"/>
    <mergeCell ref="L55:M55"/>
    <mergeCell ref="N55:N56"/>
    <mergeCell ref="O55:O56"/>
    <mergeCell ref="J45:J46"/>
    <mergeCell ref="K45:K46"/>
    <mergeCell ref="L45:M45"/>
    <mergeCell ref="N45:N46"/>
    <mergeCell ref="O45:O46"/>
    <mergeCell ref="J64:J65"/>
    <mergeCell ref="K64:K65"/>
    <mergeCell ref="L64:M64"/>
    <mergeCell ref="N64:N65"/>
    <mergeCell ref="O64:O6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2022-06-03T13:02:16Z</dcterms:created>
  <dcterms:modified xsi:type="dcterms:W3CDTF">2022-06-04T07:40:30Z</dcterms:modified>
</cp:coreProperties>
</file>